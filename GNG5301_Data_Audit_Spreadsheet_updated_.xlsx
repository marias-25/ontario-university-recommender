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ta Collection info" sheetId="1" state="visible" r:id="rId3"/>
    <sheet name="ML Feature Matrix" sheetId="2" state="visible" r:id="rId4"/>
    <sheet name="Workflow &amp; Checklist" sheetId="3" state="visible" r:id="rId5"/>
  </sheets>
  <definedNames>
    <definedName function="false" hidden="true" localSheetId="0" name="_xlnm._FilterDatabase" vbProcedure="false">'Data Collection info'!$A$3:$M$3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6" authorId="0">
      <text>
        <r>
          <rPr>
            <sz val="10"/>
            <rFont val="Arial"/>
            <family val="2"/>
          </rPr>
          <t xml:space="preserve">Corrected from 85000 (typo). Source: uToronto tuition ~$6k Arts/Sci to ~$14k Engineering; avg ~$9,500. planningandbudget.utoronto.ca</t>
        </r>
      </text>
    </comment>
    <comment ref="E7" authorId="0">
      <text>
        <r>
          <rPr>
            <sz val="10"/>
            <rFont val="Arial"/>
            <family val="2"/>
          </rPr>
          <t xml:space="preserve">Domestic: $6,000-$11,000/yr avg ~$8,500. Intl: $28,000-$40,000/yr avg ~$34,000. Source: mcmaster.ca registrar.</t>
        </r>
      </text>
    </comment>
    <comment ref="E8" authorId="0">
      <text>
        <r>
          <rPr>
            <sz val="10"/>
            <rFont val="Arial"/>
            <family val="2"/>
          </rPr>
          <t xml:space="preserve">Domestic avg ~$9,000/yr (Arts/Sci $6,500, Engineering $14,000+). Intl avg ~$42,000. Source: queensu.ca.</t>
        </r>
      </text>
    </comment>
    <comment ref="E9" authorId="0">
      <text>
        <r>
          <rPr>
            <sz val="10"/>
            <rFont val="Arial"/>
            <family val="2"/>
          </rPr>
          <t xml:space="preserve">Domestic: $6,100 arts to $17,700 engineering, avg ~$9,500. Intl: $30,000-$55,000, avg ~$42,000. Source: registrar.uwo.ca.</t>
        </r>
      </text>
    </comment>
    <comment ref="E10" authorId="0">
      <text>
        <r>
          <rPr>
            <sz val="10"/>
            <rFont val="Arial"/>
            <family val="2"/>
          </rPr>
          <t xml:space="preserve">Domestic avg ~$7,500/yr. Intl avg ~$33,000/yr. Source: yorku.ca registrar.</t>
        </r>
      </text>
    </comment>
    <comment ref="E11" authorId="0">
      <text>
        <r>
          <rPr>
            <sz val="10"/>
            <rFont val="Arial"/>
            <family val="2"/>
          </rPr>
          <t xml:space="preserve">Domestic: $7,279-$13,023/yr avg ~$8,000. Intl: $35,000-$55,000 avg ~$30,000 lower tier. Source: carleton.ca registrar.</t>
        </r>
      </text>
    </comment>
    <comment ref="E12" authorId="0">
      <text>
        <r>
          <rPr>
            <sz val="10"/>
            <rFont val="Arial"/>
            <family val="2"/>
          </rPr>
          <t xml:space="preserve">Domestic avg ~$8,500/yr. Intl avg ~$28,000/yr (lower than most Ontario universities). Source: uoguelph.ca/registrar.</t>
        </r>
      </text>
    </comment>
    <comment ref="E13" authorId="0">
      <text>
        <r>
          <rPr>
            <sz val="10"/>
            <rFont val="Arial"/>
            <family val="2"/>
          </rPr>
          <t xml:space="preserve">Domestic avg ~$7,800/yr. Intl avg ~$28,000/yr. Source: ontariotechu.ca/cost.</t>
        </r>
      </text>
    </comment>
    <comment ref="F7" authorId="0">
      <text>
        <r>
          <rPr>
            <sz val="10"/>
            <rFont val="Arial"/>
            <family val="2"/>
          </rPr>
          <t xml:space="preserve">Domestic: $6,000-$11,000/yr avg ~$8,500. Intl: $28,000-$40,000/yr avg ~$34,000. Source: mcmaster.ca registrar.</t>
        </r>
      </text>
    </comment>
    <comment ref="F8" authorId="0">
      <text>
        <r>
          <rPr>
            <sz val="10"/>
            <rFont val="Arial"/>
            <family val="2"/>
          </rPr>
          <t xml:space="preserve">Domestic avg ~$9,000/yr (Arts/Sci $6,500, Engineering $14,000+). Intl avg ~$42,000. Source: queensu.ca.</t>
        </r>
      </text>
    </comment>
    <comment ref="F9" authorId="0">
      <text>
        <r>
          <rPr>
            <sz val="10"/>
            <rFont val="Arial"/>
            <family val="2"/>
          </rPr>
          <t xml:space="preserve">Domestic: $6,100 arts to $17,700 engineering, avg ~$9,500. Intl: $30,000-$55,000, avg ~$42,000. Source: registrar.uwo.ca.</t>
        </r>
      </text>
    </comment>
    <comment ref="F10" authorId="0">
      <text>
        <r>
          <rPr>
            <sz val="10"/>
            <rFont val="Arial"/>
            <family val="2"/>
          </rPr>
          <t xml:space="preserve">Domestic avg ~$7,500/yr. Intl avg ~$33,000/yr. Source: yorku.ca registrar.</t>
        </r>
      </text>
    </comment>
    <comment ref="F11" authorId="0">
      <text>
        <r>
          <rPr>
            <sz val="10"/>
            <rFont val="Arial"/>
            <family val="2"/>
          </rPr>
          <t xml:space="preserve">Domestic: $7,279-$13,023/yr avg ~$8,000. Intl: $35,000-$55,000 avg ~$30,000 lower tier. Source: carleton.ca registrar.</t>
        </r>
      </text>
    </comment>
    <comment ref="F12" authorId="0">
      <text>
        <r>
          <rPr>
            <sz val="10"/>
            <rFont val="Arial"/>
            <family val="2"/>
          </rPr>
          <t xml:space="preserve">Domestic avg ~$8,500/yr. Intl avg ~$28,000/yr (lower than most Ontario universities). Source: uoguelph.ca/registrar.</t>
        </r>
      </text>
    </comment>
    <comment ref="F13" authorId="0">
      <text>
        <r>
          <rPr>
            <sz val="10"/>
            <rFont val="Arial"/>
            <family val="2"/>
          </rPr>
          <t xml:space="preserve">Domestic avg ~$7,800/yr. Intl avg ~$28,000/yr. Source: ontariotechu.ca/cost.</t>
        </r>
      </text>
    </comment>
    <comment ref="L4" authorId="0">
      <text>
        <r>
          <rPr>
            <sz val="10"/>
            <rFont val="Arial"/>
            <family val="2"/>
          </rPr>
          <t xml:space="preserve">Scored 3/5: formal carbon target (2040), initiatives on record, not top-ranked globally</t>
        </r>
      </text>
    </comment>
    <comment ref="L5" authorId="0">
      <text>
        <r>
          <rPr>
            <sz val="10"/>
            <rFont val="Arial"/>
            <family val="2"/>
          </rPr>
          <t xml:space="preserve">Scored 3/5: carbon neutral by 2050 via Shift:Neutral plan, interim targets, no top global ranking</t>
        </r>
      </text>
    </comment>
    <comment ref="L6" authorId="0">
      <text>
        <r>
          <rPr>
            <sz val="10"/>
            <rFont val="Arial"/>
            <family val="2"/>
          </rPr>
          <t xml:space="preserve">Scored 5/5: #1 most sustainable university globally (QS 2024), climate-positive target, geoexchange, fossil fuel divestment by 2030</t>
        </r>
      </text>
    </comment>
    <comment ref="L7" authorId="0">
      <text>
        <r>
          <rPr>
            <sz val="10"/>
            <rFont val="Arial"/>
            <family val="2"/>
          </rPr>
          <t xml:space="preserve">Carbon neutral by 2050 per McMaster Sustainability Plan; STARS Silver rated; active sustainability office.</t>
        </r>
      </text>
    </comment>
    <comment ref="L8" authorId="0">
      <text>
        <r>
          <rPr>
            <sz val="10"/>
            <rFont val="Arial"/>
            <family val="2"/>
          </rPr>
          <t xml:space="preserve">Queen's Sustainability Office; carbon neutrality by 2050 target; STARS Silver rated.</t>
        </r>
      </text>
    </comment>
    <comment ref="L9" authorId="0">
      <text>
        <r>
          <rPr>
            <sz val="10"/>
            <rFont val="Arial"/>
            <family val="2"/>
          </rPr>
          <t xml:space="preserve">Western sustainability plan targets carbon neutrality by 2050; STARS Bronze; active Office of Sustainability.</t>
        </r>
      </text>
    </comment>
    <comment ref="L10" authorId="0">
      <text>
        <r>
          <rPr>
            <sz val="10"/>
            <rFont val="Arial"/>
            <family val="2"/>
          </rPr>
          <t xml:space="preserve">York ranked 119th globally for sustainability (QS 2026); top 40 globally for UN SDGs (THE Impact 2025); carbon neutrality target 2050.</t>
        </r>
      </text>
    </comment>
    <comment ref="L11" authorId="0">
      <text>
        <r>
          <rPr>
            <sz val="10"/>
            <rFont val="Arial"/>
            <family val="2"/>
          </rPr>
          <t xml:space="preserve">Carleton sustainability commitment to net-zero by 2050; Sustainable Carleton Office; STARS Bronze.</t>
        </r>
      </text>
    </comment>
    <comment ref="L12" authorId="0">
      <text>
        <r>
          <rPr>
            <sz val="10"/>
            <rFont val="Arial"/>
            <family val="2"/>
          </rPr>
          <t xml:space="preserve">Guelph ranked among Canada's top comprehensive universities for sustainability; STARS Gold; carbon neutrality target 2050; strong environmental research identity.</t>
        </r>
      </text>
    </comment>
    <comment ref="L13" authorId="0">
      <text>
        <r>
          <rPr>
            <sz val="10"/>
            <rFont val="Arial"/>
            <family val="2"/>
          </rPr>
          <t xml:space="preserve">Ontario Tech newer institution; sustainability commitments in progress; no confirmed carbon neutrality target date yet; STARS not yet rated.</t>
        </r>
      </text>
    </comment>
    <comment ref="M5" authorId="0">
      <text>
        <r>
          <rPr>
            <sz val="10"/>
            <rFont val="Arial"/>
            <family val="2"/>
          </rPr>
          <t xml:space="preserve">Source: Waterloo Shift:Neutral climate action plan (uwaterloo.ca/sustainability)</t>
        </r>
      </text>
    </comment>
    <comment ref="M6" authorId="0">
      <text>
        <r>
          <rPr>
            <sz val="10"/>
            <rFont val="Arial"/>
            <family val="2"/>
          </rPr>
          <t xml:space="preserve">Source: uToronto Climate Positive Campus Plan — climate positive by 2050 (climatepositive.utoronto.ca)</t>
        </r>
      </text>
    </comment>
    <comment ref="O5" authorId="0">
      <text>
        <r>
          <rPr>
            <sz val="10"/>
            <rFont val="Arial"/>
            <family val="2"/>
          </rPr>
          <t xml:space="preserve">Estimated 3/5: has EDI office and Women-in-STEM programs; less data publicly available than uOttawa</t>
        </r>
      </text>
    </comment>
    <comment ref="O6" authorId="0">
      <text>
        <r>
          <rPr>
            <sz val="10"/>
            <rFont val="Arial"/>
            <family val="2"/>
          </rPr>
          <t xml:space="preserve">Estimated 4/5: strong EDI office, women-in-STEM programs, fossil fuel divestment commitment, world-leading sustainability governance</t>
        </r>
      </text>
    </comment>
    <comment ref="S7" authorId="0">
      <text>
        <r>
          <rPr>
            <sz val="10"/>
            <rFont val="Arial"/>
            <family val="2"/>
          </rPr>
          <t xml:space="preserve">Hamilton CMA avg 1BR ~$1,700/mo (CMHC 2024); cheaper than Toronto corridor.</t>
        </r>
      </text>
    </comment>
    <comment ref="S8" authorId="0">
      <text>
        <r>
          <rPr>
            <sz val="10"/>
            <rFont val="Arial"/>
            <family val="2"/>
          </rPr>
          <t xml:space="preserve">Kingston avg 1BR ~$1,650/mo (CMHC 2024); more affordable than GTA.</t>
        </r>
      </text>
    </comment>
    <comment ref="S9" authorId="0">
      <text>
        <r>
          <rPr>
            <sz val="10"/>
            <rFont val="Arial"/>
            <family val="2"/>
          </rPr>
          <t xml:space="preserve">London avg 1BR ~$1,600/mo (CMHC 2024); one of the more affordable Ontario cities.</t>
        </r>
      </text>
    </comment>
    <comment ref="S10" authorId="0">
      <text>
        <r>
          <rPr>
            <sz val="10"/>
            <rFont val="Arial"/>
            <family val="2"/>
          </rPr>
          <t xml:space="preserve">Toronto avg 1BR ~$2,100/mo; York Keele campus in northwest Toronto slightly below city centre.</t>
        </r>
      </text>
    </comment>
    <comment ref="S11" authorId="0">
      <text>
        <r>
          <rPr>
            <sz val="10"/>
            <rFont val="Arial"/>
            <family val="2"/>
          </rPr>
          <t xml:space="preserve">Ottawa avg 1BR ~$1,900/mo; students eligible for OC Transpo U-Pass (~$138.50/mo included in fees, similar to uOttawa).</t>
        </r>
      </text>
    </comment>
    <comment ref="S12" authorId="0">
      <text>
        <r>
          <rPr>
            <sz val="10"/>
            <rFont val="Arial"/>
            <family val="2"/>
          </rPr>
          <t xml:space="preserve">Guelph avg 1BR ~$1,550/mo; one of Ontario's most affordable mid-size cities.</t>
        </r>
      </text>
    </comment>
    <comment ref="S13" authorId="0">
      <text>
        <r>
          <rPr>
            <sz val="10"/>
            <rFont val="Arial"/>
            <family val="2"/>
          </rPr>
          <t xml:space="preserve">Oshawa avg 1BR ~$1,500/mo (CMHC 2024); one of the most affordable GTA-adjacent cities.</t>
        </r>
      </text>
    </comment>
    <comment ref="V4"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5"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6"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7"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8"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9"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10"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11"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12"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V13" authorId="0">
      <text>
        <r>
          <rPr>
            <sz val="10"/>
            <rFont val="Arial"/>
            <family val="2"/>
          </rPr>
          <t xml:space="preserve">COL Score (1-10, higher=more expensive city). Formula: 60% rent + 20% transit + 20% groceries. Normalized across all 10 universities in dataset. Min/max: rent $1500-$2200, transit $0-$138.5, grocery 0.89-1.08.</t>
        </r>
      </text>
    </comment>
    <comment ref="AB4" authorId="0">
      <text>
        <r>
          <rPr>
            <sz val="10"/>
            <rFont val="Arial"/>
            <family val="2"/>
          </rPr>
          <t xml:space="preserve">Scored 2/5: large urban research university, 40k enrollment</t>
        </r>
      </text>
    </comment>
    <comment ref="AB5" authorId="0">
      <text>
        <r>
          <rPr>
            <sz val="10"/>
            <rFont val="Arial"/>
            <family val="2"/>
          </rPr>
          <t xml:space="preserve">Scored 3/5: suburban campus, tight-knit culture offsets large 41k enrollment</t>
        </r>
      </text>
    </comment>
    <comment ref="AB6" authorId="0">
      <text>
        <r>
          <rPr>
            <sz val="10"/>
            <rFont val="Arial"/>
            <family val="2"/>
          </rPr>
          <t xml:space="preserve">Corrected from 85 (data entry error). Scored 1/5: largest university in Canada (102k enrollment), multi-campus urban</t>
        </r>
      </text>
    </comment>
    <comment ref="AG5" authorId="0">
      <text>
        <r>
          <rPr>
            <sz val="10"/>
            <rFont val="Arial"/>
            <family val="2"/>
          </rPr>
          <t xml:space="preserve">Source: uwaterloo.ca/future-students/programs + uwaterloo.ca/co-operative-education/about-co-op. Waterloo has 120+ CEWIL-accredited co-op programs across 6 faculties. List shows named programs; many have multiple majors within them.</t>
        </r>
      </text>
    </comment>
    <comment ref="AG6" authorId="0">
      <text>
        <r>
          <rPr>
            <sz val="10"/>
            <rFont val="Arial"/>
            <family val="2"/>
          </rPr>
          <t xml:space="preserve">Source: hireuoftcoop.utoronto.ca ('150+ disciplines across three campuses'), utsc.utoronto.ca/admissions/about-co-op ('50+ co-op programs at UTSC'), utsc.utoronto.ca/artscicoop ('58+ programs'). U of T co-op is spread across 3 campuses (St. George, UTSC, UTM) with different program structures per campus.</t>
        </r>
      </text>
    </comment>
    <comment ref="AG7" authorId="0">
      <text>
        <r>
          <rPr>
            <sz val="10"/>
            <rFont val="Arial"/>
            <family val="2"/>
          </rPr>
          <t xml:space="preserve">McMaster co-op offered selectively by faculty; Engineering and DeGroote Business have structured co-op. Approx 30 accredited programs.</t>
        </r>
      </text>
    </comment>
    <comment ref="AG8" authorId="0">
      <text>
        <r>
          <rPr>
            <sz val="10"/>
            <rFont val="Arial"/>
            <family val="2"/>
          </rPr>
          <t xml:space="preserve">Queen's co-op primarily through Engineering &amp; Applied Science and Smith School of Business. ~25 accredited programs.</t>
        </r>
      </text>
    </comment>
    <comment ref="AG9" authorId="0">
      <text>
        <r>
          <rPr>
            <sz val="10"/>
            <rFont val="Arial"/>
            <family val="2"/>
          </rPr>
          <t xml:space="preserve">Western co-op via Science Internship Program and Engineering. London Transit bus pass included in student fees (~$0 effective). Approx 20 programs.</t>
        </r>
      </text>
    </comment>
    <comment ref="AG10" authorId="0">
      <text>
        <r>
          <rPr>
            <sz val="10"/>
            <rFont val="Arial"/>
            <family val="2"/>
          </rPr>
          <t xml:space="preserve">York YU Experience Hub: 8,500+ experiential learning opportunities incl. co-ops, internships, placements. Approx 40 formal co-op programs.</t>
        </r>
      </text>
    </comment>
    <comment ref="AG11" authorId="0">
      <text>
        <r>
          <rPr>
            <sz val="10"/>
            <rFont val="Arial"/>
            <family val="2"/>
          </rPr>
          <t xml:space="preserve">Carleton has strong co-op tradition across 55+ programs especially Engineering, CS, Business, Journalism, Public Affairs. Source: carleton.ca/co-op.</t>
        </r>
      </text>
    </comment>
    <comment ref="AG12" authorId="0">
      <text>
        <r>
          <rPr>
            <sz val="10"/>
            <rFont val="Arial"/>
            <family val="2"/>
          </rPr>
          <t xml:space="preserve">Guelph has co-op across 35+ programs. Particularly strong in science, agriculture, engineering, and business streams. Source: uoguelph.ca/experiential-learning.</t>
        </r>
      </text>
    </comment>
    <comment ref="AG13" authorId="0">
      <text>
        <r>
          <rPr>
            <sz val="10"/>
            <rFont val="Arial"/>
            <family val="2"/>
          </rPr>
          <t xml:space="preserve">Ontario Tech co-op across 20 programs; strong industry partnerships in tech/automotive. Source: ontariotechu.ca/co-op.</t>
        </r>
      </text>
    </comment>
    <comment ref="AH5" authorId="0">
      <text>
        <r>
          <rPr>
            <sz val="10"/>
            <rFont val="Arial"/>
            <family val="2"/>
          </rPr>
          <t xml:space="preserve">Source: uwaterloo.ca/co-operative-education/about-co-op — '120+ CEWIL Canada-accredited co-op programs across six faculties'. Waterloo applies directly to co-op from high school; nearly all programs have a co-op stream.</t>
        </r>
      </text>
    </comment>
    <comment ref="AH6" authorId="0">
      <text>
        <r>
          <rPr>
            <sz val="10"/>
            <rFont val="Arial"/>
            <family val="2"/>
          </rPr>
          <t xml:space="preserve">Source: hireuoftcoop.utoronto.ca — 'students from more than 150 disciplines across three campuses'. Note: U of T co-op is campus-specific (UTSC: 58+, UTM: co-op internship program, St. George: PEY + ASIP). 150 is the combined tri-campus figure.</t>
        </r>
      </text>
    </comment>
    <comment ref="AH7" authorId="0">
      <text>
        <r>
          <rPr>
            <sz val="10"/>
            <rFont val="Arial"/>
            <family val="2"/>
          </rPr>
          <t xml:space="preserve">McMaster co-op offered selectively by faculty; Engineering and DeGroote Business have structured co-op. Approx 30 accredited programs.</t>
        </r>
      </text>
    </comment>
    <comment ref="AH8" authorId="0">
      <text>
        <r>
          <rPr>
            <sz val="10"/>
            <rFont val="Arial"/>
            <family val="2"/>
          </rPr>
          <t xml:space="preserve">Queen's co-op primarily through Engineering &amp; Applied Science and Smith School of Business. ~25 accredited programs.</t>
        </r>
      </text>
    </comment>
    <comment ref="AH9" authorId="0">
      <text>
        <r>
          <rPr>
            <sz val="10"/>
            <rFont val="Arial"/>
            <family val="2"/>
          </rPr>
          <t xml:space="preserve">Western co-op via Science Internship Program and Engineering. London Transit bus pass included in student fees (~$0 effective). Approx 20 programs.</t>
        </r>
      </text>
    </comment>
    <comment ref="AH10" authorId="0">
      <text>
        <r>
          <rPr>
            <sz val="10"/>
            <rFont val="Arial"/>
            <family val="2"/>
          </rPr>
          <t xml:space="preserve">York YU Experience Hub: 8,500+ experiential learning opportunities incl. co-ops, internships, placements. Approx 40 formal co-op programs.</t>
        </r>
      </text>
    </comment>
    <comment ref="AH11" authorId="0">
      <text>
        <r>
          <rPr>
            <sz val="10"/>
            <rFont val="Arial"/>
            <family val="2"/>
          </rPr>
          <t xml:space="preserve">Carleton has strong co-op tradition across 55+ programs especially Engineering, CS, Business, Journalism, Public Affairs. Source: carleton.ca/co-op.</t>
        </r>
      </text>
    </comment>
    <comment ref="AH12" authorId="0">
      <text>
        <r>
          <rPr>
            <sz val="10"/>
            <rFont val="Arial"/>
            <family val="2"/>
          </rPr>
          <t xml:space="preserve">Guelph has co-op across 35+ programs. Particularly strong in science, agriculture, engineering, and business streams. Source: uoguelph.ca/experiential-learning.</t>
        </r>
      </text>
    </comment>
    <comment ref="AH13" authorId="0">
      <text>
        <r>
          <rPr>
            <sz val="10"/>
            <rFont val="Arial"/>
            <family val="2"/>
          </rPr>
          <t xml:space="preserve">Ontario Tech co-op across 20 programs; strong industry partnerships in tech/automotive. Source: ontariotechu.ca/co-op.</t>
        </r>
      </text>
    </comment>
  </commentList>
</comments>
</file>

<file path=xl/sharedStrings.xml><?xml version="1.0" encoding="utf-8"?>
<sst xmlns="http://schemas.openxmlformats.org/spreadsheetml/2006/main" count="734" uniqueCount="399">
  <si>
    <t xml:space="preserve">GNG5301 — Data Audit &amp; Feature Collection Schema</t>
  </si>
  <si>
    <t xml:space="preserve">Phase 1 </t>
  </si>
  <si>
    <t xml:space="preserve">Feature ID</t>
  </si>
  <si>
    <t xml:space="preserve">Category</t>
  </si>
  <si>
    <t xml:space="preserve">Feature Name</t>
  </si>
  <si>
    <t xml:space="preserve">Description / What to Collect</t>
  </si>
  <si>
    <t xml:space="preserve">ML Column Name
(Python)</t>
  </si>
  <si>
    <t xml:space="preserve">Data Type</t>
  </si>
  <si>
    <t xml:space="preserve">Example Value</t>
  </si>
  <si>
    <t xml:space="preserve">Primary Source</t>
  </si>
  <si>
    <t xml:space="preserve">Source URL</t>
  </si>
  <si>
    <t xml:space="preserve">Access Method</t>
  </si>
  <si>
    <t xml:space="preserve">Update Freq.</t>
  </si>
  <si>
    <t xml:space="preserve">Data Quality
(1–5 ⭐)</t>
  </si>
  <si>
    <t xml:space="preserve">Gaps / Notes</t>
  </si>
  <si>
    <t xml:space="preserve">  ▶  ACADEMIC</t>
  </si>
  <si>
    <t xml:space="preserve">A01</t>
  </si>
  <si>
    <t xml:space="preserve">Academic</t>
  </si>
  <si>
    <t xml:space="preserve">University Name</t>
  </si>
  <si>
    <t xml:space="preserve">Full official name of the institution</t>
  </si>
  <si>
    <t xml:space="preserve">university_name</t>
  </si>
  <si>
    <t xml:space="preserve">String</t>
  </si>
  <si>
    <t xml:space="preserve">University of Ottawa</t>
  </si>
  <si>
    <t xml:space="preserve">Institutional</t>
  </si>
  <si>
    <t xml:space="preserve">uottawa.ca</t>
  </si>
  <si>
    <t xml:space="preserve">Manual</t>
  </si>
  <si>
    <t xml:space="preserve">Static</t>
  </si>
  <si>
    <t xml:space="preserve">⭐⭐⭐⭐⭐</t>
  </si>
  <si>
    <t xml:space="preserve">A02</t>
  </si>
  <si>
    <t xml:space="preserve">Programs Offered</t>
  </si>
  <si>
    <t xml:space="preserve">List all undergraduate programs available</t>
  </si>
  <si>
    <t xml:space="preserve">programs_list</t>
  </si>
  <si>
    <t xml:space="preserve">List[str]</t>
  </si>
  <si>
    <t xml:space="preserve">Engineering, CS, Health Sciences…</t>
  </si>
  <si>
    <t xml:space="preserve">CUDO / OUInfo</t>
  </si>
  <si>
    <t xml:space="preserve">cudo.ouac.on.ca / ouinfo.ca</t>
  </si>
  <si>
    <t xml:space="preserve">Download / Scrape</t>
  </si>
  <si>
    <t xml:space="preserve">Annual</t>
  </si>
  <si>
    <t xml:space="preserve">Check for French-only programs at uOttawa</t>
  </si>
  <si>
    <t xml:space="preserve">A03</t>
  </si>
  <si>
    <t xml:space="preserve">Co-op Available</t>
  </si>
  <si>
    <t xml:space="preserve">Does the university offer co-op? (Yes/No)</t>
  </si>
  <si>
    <t xml:space="preserve">coop_available</t>
  </si>
  <si>
    <t xml:space="preserve">Boolean</t>
  </si>
  <si>
    <t xml:space="preserve">Yes</t>
  </si>
  <si>
    <t xml:space="preserve">OUInfo / uOttawa Co-op Office</t>
  </si>
  <si>
    <t xml:space="preserve">coop.uottawa.ca</t>
  </si>
  <si>
    <t xml:space="preserve">Scrape / Manual</t>
  </si>
  <si>
    <t xml:space="preserve">⭐⭐⭐⭐</t>
  </si>
  <si>
    <t xml:space="preserve">May vary by program — collect program-level if possible</t>
  </si>
  <si>
    <t xml:space="preserve">A04</t>
  </si>
  <si>
    <t xml:space="preserve">Co-op Placement Rate (%)</t>
  </si>
  <si>
    <t xml:space="preserve">% of co-op students who secured placement</t>
  </si>
  <si>
    <t xml:space="preserve">coop_placement_rate</t>
  </si>
  <si>
    <t xml:space="preserve">Float</t>
  </si>
  <si>
    <t xml:space="preserve">92.0</t>
  </si>
  <si>
    <t xml:space="preserve">uOttawa Institutional Data</t>
  </si>
  <si>
    <t xml:space="preserve">uottawa.ca/faculty-engineering</t>
  </si>
  <si>
    <t xml:space="preserve">⭐⭐⭐</t>
  </si>
  <si>
    <t xml:space="preserve">May not be publicly published — note if missing</t>
  </si>
  <si>
    <t xml:space="preserve">A05</t>
  </si>
  <si>
    <t xml:space="preserve">Teaching vs Research Focus</t>
  </si>
  <si>
    <t xml:space="preserve">Scale: 1=pure teaching, 5=pure research</t>
  </si>
  <si>
    <t xml:space="preserve">research_focus_score</t>
  </si>
  <si>
    <t xml:space="preserve">Int (1–5)</t>
  </si>
  <si>
    <t xml:space="preserve">4</t>
  </si>
  <si>
    <t xml:space="preserve">CUDO / U Rankings</t>
  </si>
  <si>
    <t xml:space="preserve">cudo.ouac.on.ca</t>
  </si>
  <si>
    <t xml:space="preserve">Manual scoring</t>
  </si>
  <si>
    <t xml:space="preserve">Use CUDO research expenditure as proxy</t>
  </si>
  <si>
    <t xml:space="preserve">A06</t>
  </si>
  <si>
    <t xml:space="preserve">Bilingual Institution</t>
  </si>
  <si>
    <t xml:space="preserve">Offers full programs in both English &amp; French</t>
  </si>
  <si>
    <t xml:space="preserve">bilingual</t>
  </si>
  <si>
    <t xml:space="preserve">True</t>
  </si>
  <si>
    <t xml:space="preserve">Institutional / CUDO</t>
  </si>
  <si>
    <t xml:space="preserve">uOttawa is world's largest bilingual university</t>
  </si>
  <si>
    <t xml:space="preserve">A07</t>
  </si>
  <si>
    <t xml:space="preserve">Student-Faculty Ratio</t>
  </si>
  <si>
    <t xml:space="preserve">Avg students per faculty member</t>
  </si>
  <si>
    <t xml:space="preserve">student_faculty_ratio</t>
  </si>
  <si>
    <t xml:space="preserve">22.5</t>
  </si>
  <si>
    <t xml:space="preserve">CUDO</t>
  </si>
  <si>
    <t xml:space="preserve">Download</t>
  </si>
  <si>
    <t xml:space="preserve">A08</t>
  </si>
  <si>
    <t xml:space="preserve">Total Enrollment</t>
  </si>
  <si>
    <t xml:space="preserve">Total undergraduate student headcount</t>
  </si>
  <si>
    <t xml:space="preserve">total_enrollment</t>
  </si>
  <si>
    <t xml:space="preserve">Int</t>
  </si>
  <si>
    <t xml:space="preserve">42000</t>
  </si>
  <si>
    <t xml:space="preserve">A09</t>
  </si>
  <si>
    <t xml:space="preserve">Graduation Rate (%)</t>
  </si>
  <si>
    <t xml:space="preserve">% of students who complete degree within 6 yrs</t>
  </si>
  <si>
    <t xml:space="preserve">graduation_rate</t>
  </si>
  <si>
    <t xml:space="preserve">80.5</t>
  </si>
  <si>
    <t xml:space="preserve">A10</t>
  </si>
  <si>
    <t xml:space="preserve">  ▶  FINANCIAL</t>
  </si>
  <si>
    <t xml:space="preserve">F01</t>
  </si>
  <si>
    <t xml:space="preserve">Financial</t>
  </si>
  <si>
    <t xml:space="preserve">Domestic Tuition (avg $/yr)</t>
  </si>
  <si>
    <t xml:space="preserve">Average domestic undergrad tuition across programs</t>
  </si>
  <si>
    <t xml:space="preserve">tuition_domestic_avg</t>
  </si>
  <si>
    <t xml:space="preserve">7200.0</t>
  </si>
  <si>
    <t xml:space="preserve">uOttawa Registrar / CUDO</t>
  </si>
  <si>
    <t xml:space="preserve">uottawa.ca/study/fees + cudo.ouac.on.ca</t>
  </si>
  <si>
    <t xml:space="preserve">Collect min, max, avg if possible</t>
  </si>
  <si>
    <t xml:space="preserve">F02</t>
  </si>
  <si>
    <t xml:space="preserve">International Tuition (avg $/yr)</t>
  </si>
  <si>
    <t xml:space="preserve">Average international undergrad tuition</t>
  </si>
  <si>
    <t xml:space="preserve">tuition_intl_avg</t>
  </si>
  <si>
    <t xml:space="preserve">32000.0</t>
  </si>
  <si>
    <t xml:space="preserve">uottawa.ca/study/fees</t>
  </si>
  <si>
    <t xml:space="preserve">Scrape</t>
  </si>
  <si>
    <t xml:space="preserve">F03</t>
  </si>
  <si>
    <t xml:space="preserve">Ancillary Fees ($/yr)</t>
  </si>
  <si>
    <t xml:space="preserve">Student fees beyond tuition (health, athletics, etc.)</t>
  </si>
  <si>
    <t xml:space="preserve">ancillary_fees</t>
  </si>
  <si>
    <t xml:space="preserve">1100.0</t>
  </si>
  <si>
    <t xml:space="preserve">uOttawa Registrar</t>
  </si>
  <si>
    <t xml:space="preserve">F04</t>
  </si>
  <si>
    <t xml:space="preserve">F05</t>
  </si>
  <si>
    <t xml:space="preserve">Max Entrance Scholarship ($)</t>
  </si>
  <si>
    <t xml:space="preserve">Largest automatic entrance scholarship available</t>
  </si>
  <si>
    <t xml:space="preserve">max_entrance_scholarship</t>
  </si>
  <si>
    <t xml:space="preserve">4000.0</t>
  </si>
  <si>
    <t xml:space="preserve">uOttawa Financial Aid</t>
  </si>
  <si>
    <t xml:space="preserve">uottawa.ca/study/fees-financial-support</t>
  </si>
  <si>
    <t xml:space="preserve">  ▶  GEOGRAPHIC</t>
  </si>
  <si>
    <t xml:space="preserve">G01</t>
  </si>
  <si>
    <t xml:space="preserve">Geographic</t>
  </si>
  <si>
    <t xml:space="preserve">City</t>
  </si>
  <si>
    <t xml:space="preserve">City where main campus is located</t>
  </si>
  <si>
    <t xml:space="preserve">city</t>
  </si>
  <si>
    <t xml:space="preserve">Ottawa</t>
  </si>
  <si>
    <t xml:space="preserve">G02</t>
  </si>
  <si>
    <t xml:space="preserve">Region (Ontario)</t>
  </si>
  <si>
    <t xml:space="preserve">Ontario region classification</t>
  </si>
  <si>
    <t xml:space="preserve">region</t>
  </si>
  <si>
    <t xml:space="preserve">Eastern Ontario</t>
  </si>
  <si>
    <t xml:space="preserve">Manual classification</t>
  </si>
  <si>
    <t xml:space="preserve">—</t>
  </si>
  <si>
    <t xml:space="preserve">Classify: GTA / Eastern / Western / Northern / Central</t>
  </si>
  <si>
    <t xml:space="preserve">G04</t>
  </si>
  <si>
    <t xml:space="preserve">Latitude</t>
  </si>
  <si>
    <t xml:space="preserve">GPS latitude for mapping / distance features</t>
  </si>
  <si>
    <t xml:space="preserve">latitude</t>
  </si>
  <si>
    <t xml:space="preserve">45.4231</t>
  </si>
  <si>
    <t xml:space="preserve">Google Maps / OpenStreetMap</t>
  </si>
  <si>
    <t xml:space="preserve">maps.google.com</t>
  </si>
  <si>
    <t xml:space="preserve">G05</t>
  </si>
  <si>
    <t xml:space="preserve">Longitude</t>
  </si>
  <si>
    <t xml:space="preserve">GPS longitude</t>
  </si>
  <si>
    <t xml:space="preserve">longitude</t>
  </si>
  <si>
    <t xml:space="preserve">-75.6831</t>
  </si>
  <si>
    <t xml:space="preserve">  ▶  COST OF LIVING</t>
  </si>
  <si>
    <t xml:space="preserve">C01</t>
  </si>
  <si>
    <t xml:space="preserve">Cost of Living</t>
  </si>
  <si>
    <t xml:space="preserve">Avg 1BR Rent ($/mo)</t>
  </si>
  <si>
    <t xml:space="preserve">Average 1-bedroom apartment rent near campus</t>
  </si>
  <si>
    <t xml:space="preserve">avg_rent_1br</t>
  </si>
  <si>
    <t xml:space="preserve">2000.0</t>
  </si>
  <si>
    <t xml:space="preserve">CMHC / Numbeo / Rentals.ca</t>
  </si>
  <si>
    <t xml:space="preserve">cmhc-schl.gc.ca / numbeo.com</t>
  </si>
  <si>
    <t xml:space="preserve">API / Scrape</t>
  </si>
  <si>
    <t xml:space="preserve">Use Ottawa CMA data from CMHC</t>
  </si>
  <si>
    <t xml:space="preserve">C03</t>
  </si>
  <si>
    <t xml:space="preserve">Transit Monthly Pass ($/mo)</t>
  </si>
  <si>
    <t xml:space="preserve">Cost of public transit student pass</t>
  </si>
  <si>
    <t xml:space="preserve">transit_pass_monthly</t>
  </si>
  <si>
    <t xml:space="preserve">0.0</t>
  </si>
  <si>
    <t xml:space="preserve">OC Transpo / uOttawa</t>
  </si>
  <si>
    <t xml:space="preserve">octranspo.com</t>
  </si>
  <si>
    <t xml:space="preserve">uOttawa has U-Pass — effectively $0 included in fees</t>
  </si>
  <si>
    <t xml:space="preserve">C04</t>
  </si>
  <si>
    <t xml:space="preserve">Grocery Cost Index</t>
  </si>
  <si>
    <t xml:space="preserve">Relative grocery cost vs Ontario avg (1.0 = avg)</t>
  </si>
  <si>
    <t xml:space="preserve">grocery_index</t>
  </si>
  <si>
    <t xml:space="preserve">0.95</t>
  </si>
  <si>
    <t xml:space="preserve">Numbeo</t>
  </si>
  <si>
    <t xml:space="preserve">numbeo.com/cost-of-living/in/Ottawa</t>
  </si>
  <si>
    <t xml:space="preserve">Ottawa slightly below Toronto cost</t>
  </si>
  <si>
    <t xml:space="preserve">C05</t>
  </si>
  <si>
    <t xml:space="preserve">Overall COL Score (1–10)</t>
  </si>
  <si>
    <t xml:space="preserve">Composite cost of living score vs Ontario unis</t>
  </si>
  <si>
    <t xml:space="preserve">col_score</t>
  </si>
  <si>
    <t xml:space="preserve">6.5</t>
  </si>
  <si>
    <t xml:space="preserve">Calculated</t>
  </si>
  <si>
    <t xml:space="preserve">Formula =</t>
  </si>
  <si>
    <t xml:space="preserve">Derive from rent + transit + groceries; lower = cheaper</t>
  </si>
  <si>
    <t xml:space="preserve">  ▶  SUSTAINABILITY</t>
  </si>
  <si>
    <t xml:space="preserve">S01</t>
  </si>
  <si>
    <t xml:space="preserve">Sustainability</t>
  </si>
  <si>
    <t xml:space="preserve">GreenMetric Rank</t>
  </si>
  <si>
    <t xml:space="preserve">UI GreenMetric World University Sustainability Rank</t>
  </si>
  <si>
    <t xml:space="preserve">greenmetric_rank</t>
  </si>
  <si>
    <t xml:space="preserve">450</t>
  </si>
  <si>
    <t xml:space="preserve">UI GreenMetric</t>
  </si>
  <si>
    <t xml:space="preserve">greenmetric.ui.ac.id</t>
  </si>
  <si>
    <t xml:space="preserve">Web scrape</t>
  </si>
  <si>
    <t xml:space="preserve">Check if uOttawa is listed; use NaN if not ranked</t>
  </si>
  <si>
    <t xml:space="preserve">S02</t>
  </si>
  <si>
    <t xml:space="preserve">Carbon Neutrality Target Year</t>
  </si>
  <si>
    <t xml:space="preserve">Year institution targets carbon neutrality</t>
  </si>
  <si>
    <t xml:space="preserve">carbon_neutral_year</t>
  </si>
  <si>
    <t xml:space="preserve">2040</t>
  </si>
  <si>
    <t xml:space="preserve">uOttawa Sustainability Office</t>
  </si>
  <si>
    <t xml:space="preserve">uottawa.ca/campus-life/campus-sustainability</t>
  </si>
  <si>
    <t xml:space="preserve">uOttawa targets 2040; note if no public target</t>
  </si>
  <si>
    <t xml:space="preserve">S03</t>
  </si>
  <si>
    <t xml:space="preserve">Sustainability Initiatives</t>
  </si>
  <si>
    <t xml:space="preserve">Key programs: solar, bike share, zero waste, etc.</t>
  </si>
  <si>
    <t xml:space="preserve">sustainability_initiatives</t>
  </si>
  <si>
    <t xml:space="preserve">Solar panels, EV chargers, green roofs</t>
  </si>
  <si>
    <t xml:space="preserve">uOttawa Sustainability</t>
  </si>
  <si>
    <t xml:space="preserve">Qualitative — collect list then encode</t>
  </si>
  <si>
    <t xml:space="preserve">S04</t>
  </si>
  <si>
    <t xml:space="preserve">Sustainability Score (1–5)</t>
  </si>
  <si>
    <t xml:space="preserve">Composite manual score based on initiatives + rank</t>
  </si>
  <si>
    <t xml:space="preserve">sustainability_score</t>
  </si>
  <si>
    <t xml:space="preserve">3</t>
  </si>
  <si>
    <t xml:space="preserve">Manual assessment</t>
  </si>
  <si>
    <t xml:space="preserve">Score based on S01–S03; document rationale</t>
  </si>
  <si>
    <t xml:space="preserve">  ▶  DIVERSITY &amp; EQUITY</t>
  </si>
  <si>
    <t xml:space="preserve">D01</t>
  </si>
  <si>
    <t xml:space="preserve">Diversity &amp; Equity</t>
  </si>
  <si>
    <t xml:space="preserve">EDI Office / Programs</t>
  </si>
  <si>
    <t xml:space="preserve">Has formal Equity, Diversity &amp; Inclusion office?</t>
  </si>
  <si>
    <t xml:space="preserve">edi_office</t>
  </si>
  <si>
    <t xml:space="preserve">uOttawa EDI</t>
  </si>
  <si>
    <t xml:space="preserve">uottawa.ca/about-us/administration/equity-diversity-inclusion</t>
  </si>
  <si>
    <t xml:space="preserve">D02</t>
  </si>
  <si>
    <t xml:space="preserve">Women-in-STEM Programs</t>
  </si>
  <si>
    <t xml:space="preserve">Specific programs supporting women in STEM</t>
  </si>
  <si>
    <t xml:space="preserve">women_stem_programs</t>
  </si>
  <si>
    <t xml:space="preserve">uOttawa WISE / Institutional</t>
  </si>
  <si>
    <t xml:space="preserve">Check for Women in Engineering / WISE chapters</t>
  </si>
  <si>
    <t xml:space="preserve">D03</t>
  </si>
  <si>
    <t xml:space="preserve">Indigenous Support Programs</t>
  </si>
  <si>
    <t xml:space="preserve">Indigenous student support services offered</t>
  </si>
  <si>
    <t xml:space="preserve">indigenous_support</t>
  </si>
  <si>
    <t xml:space="preserve">uOttawa Indigenous Affairs</t>
  </si>
  <si>
    <t xml:space="preserve">uottawa.ca/student-life</t>
  </si>
  <si>
    <t xml:space="preserve">Note specific programs e.g. Turtle Island</t>
  </si>
  <si>
    <t xml:space="preserve">D04</t>
  </si>
  <si>
    <t xml:space="preserve">International Student %</t>
  </si>
  <si>
    <t xml:space="preserve">% of total student body that is international</t>
  </si>
  <si>
    <t xml:space="preserve">intl_student_pct</t>
  </si>
  <si>
    <t xml:space="preserve">18.5</t>
  </si>
  <si>
    <t xml:space="preserve">CUDO / Institutional</t>
  </si>
  <si>
    <t xml:space="preserve">  ▶  CAMPUS LIFE</t>
  </si>
  <si>
    <t xml:space="preserve">L01</t>
  </si>
  <si>
    <t xml:space="preserve">Campus Life</t>
  </si>
  <si>
    <t xml:space="preserve">Mental Health Services</t>
  </si>
  <si>
    <t xml:space="preserve">Dedicated mental health / counselling services?</t>
  </si>
  <si>
    <t xml:space="preserve">mental_health_services</t>
  </si>
  <si>
    <t xml:space="preserve">uOttawa Health Services</t>
  </si>
  <si>
    <t xml:space="preserve">uottawa.ca/students/health-wellness</t>
  </si>
  <si>
    <t xml:space="preserve">Note waitlist issues if public data available</t>
  </si>
  <si>
    <t xml:space="preserve">L02</t>
  </si>
  <si>
    <t xml:space="preserve">Student Clubs Count</t>
  </si>
  <si>
    <t xml:space="preserve">Approx. number of student clubs / organizations</t>
  </si>
  <si>
    <t xml:space="preserve">student_clubs_count</t>
  </si>
  <si>
    <t xml:space="preserve">300</t>
  </si>
  <si>
    <t xml:space="preserve">uOttawa Student Federation</t>
  </si>
  <si>
    <t xml:space="preserve">sfuo.ca</t>
  </si>
  <si>
    <t xml:space="preserve">L03</t>
  </si>
  <si>
    <t xml:space="preserve">Sports &amp; Recreation</t>
  </si>
  <si>
    <t xml:space="preserve">On-campus gym / varsity sports / intramurals</t>
  </si>
  <si>
    <t xml:space="preserve">sports_recreation</t>
  </si>
  <si>
    <t xml:space="preserve">uOttawa Athletics</t>
  </si>
  <si>
    <t xml:space="preserve">athletics.uottawa.ca</t>
  </si>
  <si>
    <t xml:space="preserve">Note if included in student fees</t>
  </si>
  <si>
    <t xml:space="preserve">L04</t>
  </si>
  <si>
    <t xml:space="preserve">On-Campus Residence Capacity</t>
  </si>
  <si>
    <t xml:space="preserve"># of on-campus residence beds available</t>
  </si>
  <si>
    <t xml:space="preserve">residence_capacity</t>
  </si>
  <si>
    <t xml:space="preserve">3500</t>
  </si>
  <si>
    <t xml:space="preserve">CUDO / uOttawa Residences</t>
  </si>
  <si>
    <t xml:space="preserve">residence.uottawa.ca</t>
  </si>
  <si>
    <t xml:space="preserve">L05</t>
  </si>
  <si>
    <t xml:space="preserve">Campus Feel Score (1–5)</t>
  </si>
  <si>
    <t xml:space="preserve">Subjective large/research vs small/intimate rating</t>
  </si>
  <si>
    <t xml:space="preserve">campus_feel_score</t>
  </si>
  <si>
    <t xml:space="preserve">2</t>
  </si>
  <si>
    <t xml:space="preserve">Manual (based on enrollment + type)</t>
  </si>
  <si>
    <t xml:space="preserve">1=large urban research, 5=small intimate; uOttawa=1-2</t>
  </si>
  <si>
    <t xml:space="preserve">  ▶  RANKINGS</t>
  </si>
  <si>
    <t xml:space="preserve">R01</t>
  </si>
  <si>
    <t xml:space="preserve">Rankings</t>
  </si>
  <si>
    <t xml:space="preserve">Maclean's Rank (Medical-Doctoral)</t>
  </si>
  <si>
    <t xml:space="preserve">Canadian university rank — Maclean's category</t>
  </si>
  <si>
    <t xml:space="preserve">macleans_rank</t>
  </si>
  <si>
    <t xml:space="preserve">8</t>
  </si>
  <si>
    <t xml:space="preserve">Maclean's Rankings</t>
  </si>
  <si>
    <t xml:space="preserve">macleans.ca/education/university-rankings</t>
  </si>
  <si>
    <t xml:space="preserve">Note year of ranking</t>
  </si>
  <si>
    <t xml:space="preserve">R02</t>
  </si>
  <si>
    <t xml:space="preserve">QS World Rank</t>
  </si>
  <si>
    <t xml:space="preserve">QS World University Rankings position</t>
  </si>
  <si>
    <t xml:space="preserve">qs_world_rank</t>
  </si>
  <si>
    <t xml:space="preserve">601</t>
  </si>
  <si>
    <t xml:space="preserve">QS Rankings</t>
  </si>
  <si>
    <t xml:space="preserve">topuniversities.com</t>
  </si>
  <si>
    <t xml:space="preserve">Use range if not exact e.g. 601–650</t>
  </si>
  <si>
    <t xml:space="preserve">R03</t>
  </si>
  <si>
    <t xml:space="preserve">Average Entering Grade (%)</t>
  </si>
  <si>
    <t xml:space="preserve">Average admitted student grade (Ontario %)</t>
  </si>
  <si>
    <t xml:space="preserve">avg_entering_grade</t>
  </si>
  <si>
    <t xml:space="preserve">84.5</t>
  </si>
  <si>
    <t xml:space="preserve">ML Feature Matrix — 3-University Pilot Dataset (Fill as data is collected)</t>
  </si>
  <si>
    <t xml:space="preserve">campus_type</t>
  </si>
  <si>
    <t xml:space="preserve">residence_annual</t>
  </si>
  <si>
    <t xml:space="preserve">meal_plan_annual</t>
  </si>
  <si>
    <t xml:space="preserve">qsranking_metric</t>
  </si>
  <si>
    <t xml:space="preserve">equity_score</t>
  </si>
  <si>
    <t xml:space="preserve">employment_rate</t>
  </si>
  <si>
    <t xml:space="preserve">student_clubs</t>
  </si>
  <si>
    <t xml:space="preserve">programs_COOP</t>
  </si>
  <si>
    <t xml:space="preserve">programs_coop_count</t>
  </si>
  <si>
    <t xml:space="preserve">urban</t>
  </si>
  <si>
    <t xml:space="preserve">Communication, Communication and Lettres Françaises, Communication and Political Science, Communication and Sociology, English, Environmental Studies, Geography, History, History and Political Science, Lettres françaises, Physical Geography and Geomatics, Translation, Civil Law (offered in French only), Droit civil et développement international et mondialisation (offered in French only), Biomedical Mechanical Engineering, Chemical Engineering, Civil Engineering, Computer Engineering, Computer Science, Computer Science and Mathematics, Data Science, Electrical Engineering, Mechanical Engineering, Software Engineering (Mandatory co-op), Biochemistry, Biology, Biomedical Science, Biopharmaceutical Science, Biotechnology, Chemistry, Environmental Geoscience, Environmental Science, Financial Mathematics and Economics, Geology, Geology-Physics, Mathematics, Mathematics and Economics, Physics, Physics-Electrical Engineering, Physics-Mathematics, Statistics, Food Sciences, Human Kinetics, Interdisciplinary Health Sciences, Anthropology, Anthropology and Sociology, Conflict Studies and Human Rights, Droit civil et développement international et mondialisation (integrated program, offered in French only), Economics, Economics and Mathematics, Economics and Political Science, Economics and Public Policy, Environmental Economics and Public Policy, Feminist and Gender Studies, International Development and Globalization, International Economics and Development, International Studies and Modern Languages, Political Science, Political Science and Communication, Political Science and History, Political Science and Public Administration, Public Administration, Sociology, Sociology and Communication, Accounting, Business Analytics, Business Technology Management, Entrepreneurship, Finance, Healthcare Analytics, Human Resource Management, International Management, Management, Marketing</t>
  </si>
  <si>
    <t xml:space="preserve">University of Waterloo</t>
  </si>
  <si>
    <t xml:space="preserve">Waterloo</t>
  </si>
  <si>
    <t xml:space="preserve">Southwestern Ontario</t>
  </si>
  <si>
    <t xml:space="preserve">suburban</t>
  </si>
  <si>
    <t xml:space="preserve">Accounting and Financial Management, Actuarial Science, Applied Mathematics, Architectural Engineering, Architecture, Biochemistry, Biology, Biomedical Engineering, Chemical Engineering, Chemistry, Civil Engineering, Climate and Environmental Change, Combinatorics and Optimization, Communication Studies, Computational Mathematics, Computer Engineering, Computer Science, Computing and Financial Management, Data Science, Earth Sciences, Economics, Electrical Engineering, Environment and Business, Environment Resources and Sustainability, Environmental Engineering, Environmental Sciences, Fine Arts, French, Gender and Social Justice, Geography and Aviation, Geography and Environmental Management, Geological Engineering, Geospatial Data Analysis, Global Business and Digital Arts, Health Sciences, Honours Arts (28 majors), Honours Arts and Business, Information Technology Management, Kinesiology, Management Engineering, Materials and Nanosciences, Mathematical Economics, Mathematical Finance, Mathematical Optimization, Mathematical Physics, Mathematics (16 majors), Mathematics/Business Administration, Mathematics/CPA, Mathematics/Financial Analysis and Risk Management, Mechanical Engineering, Mechatronics Engineering, Physics, Physics and Astronomy, Planning, Political Science, Psychology, Pure Mathematics, Science and Business, Software Engineering, Statistics</t>
  </si>
  <si>
    <t xml:space="preserve">University of Toronto</t>
  </si>
  <si>
    <t xml:space="preserve">Toronto</t>
  </si>
  <si>
    <t xml:space="preserve">Southern Ontario</t>
  </si>
  <si>
    <t xml:space="preserve">mixed</t>
  </si>
  <si>
    <t xml:space="preserve">UTSC Arts &amp; Science Co-op (58+ programs incl. Anthropology-Evolutionary, Biological Sciences, Chemistry, Computer Science, Economics, Environmental Science, Human Biology, Linguistics, Mathematics, Physics, Psychology, Statistics, and more), UTSC Management Co-op, UTSC International Development Co-op, UTM Co-op Internship Program (150+ disciplines), Engineering PEY Co-op (9 undergraduate programs: Chemical, Civil, Computer, Electrical, Engineering Science, Industrial, Materials, Mechanical, Mineral Engineering), Arts &amp; Science Internship Program - St. George (ASIP)</t>
  </si>
  <si>
    <t xml:space="preserve">McMaster University</t>
  </si>
  <si>
    <t xml:space="preserve">Hamilton</t>
  </si>
  <si>
    <t xml:space="preserve">Engineering (Chemical, Civil, Computer, Electrical, Mechanical, Software, Engineering Physics, iBioMed), Health Sciences (BHSc), Nursing, Bachelor of Commerce, Computer Science, Mathematics &amp; Statistics, Biology, Chemistry</t>
  </si>
  <si>
    <t xml:space="preserve">Queen's University</t>
  </si>
  <si>
    <t xml:space="preserve">Kingston</t>
  </si>
  <si>
    <t xml:space="preserve">Engineering &amp; Applied Science (Chemical, Civil, Computer, Electrical, Geological, Mechanical, Mining), Computing, Commerce (Smith School of Business), Life Sciences, Mathematics &amp; Statistics</t>
  </si>
  <si>
    <t xml:space="preserve">Western University</t>
  </si>
  <si>
    <t xml:space="preserve">London</t>
  </si>
  <si>
    <t xml:space="preserve">Engineering (Chemical, Civil, Computer, Electrical, Mechanical, Integrated), Computer Science, Medical Sciences, Health Sciences, Kinesiology, Management &amp; Organizational Studies (Ivey HBA)</t>
  </si>
  <si>
    <t xml:space="preserve">York University</t>
  </si>
  <si>
    <t xml:space="preserve">Greater Toronto Area</t>
  </si>
  <si>
    <t xml:space="preserve">Computer Science, Engineering (Space, Electrical, Mechanical, Computer, Software), Business (Schulich), Law (Osgoode), Fine Arts, Environmental Studies, Kinesiology, Digital Media</t>
  </si>
  <si>
    <t xml:space="preserve">Carleton University</t>
  </si>
  <si>
    <t xml:space="preserve">Engineering (Aerospace, Biomedical, Civil, Computer Systems, Electrical, Environmental, Mechanical, Software), Computer Science, Information Technology, Business (Sprott), Journalism, Public Policy, Architecture</t>
  </si>
  <si>
    <t xml:space="preserve">University of Guelph</t>
  </si>
  <si>
    <t xml:space="preserve">Guelph</t>
  </si>
  <si>
    <t xml:space="preserve">Animal Biology, Biomedical Science, Computer Science, Engineering (Biological, Environmental, Food, Water), Food Science, Environmental Sciences, Ecology, Agriculture, Business, Veterinary Medicine (limited co-op)</t>
  </si>
  <si>
    <t xml:space="preserve">Ontario Tech University</t>
  </si>
  <si>
    <t xml:space="preserve">Oshawa</t>
  </si>
  <si>
    <t xml:space="preserve">Computer Science, Software Engineering, Electrical Engineering, Mechanical Engineering, Automotive Engineering, Nuclear Engineering, Networking &amp; IT Security, Game Development, Health Informatics, Criminology</t>
  </si>
  <si>
    <t xml:space="preserve">Phase 1 Data Collection — Workflow &amp; Team Checklist</t>
  </si>
  <si>
    <t xml:space="preserve">  STEP 1 — TEAM ALIGNMENT (Before collecting anything)</t>
  </si>
  <si>
    <t xml:space="preserve">☐</t>
  </si>
  <si>
    <t xml:space="preserve">Agree on final 8–12 quiz criteria (use Feature IDs from Schema sheet)</t>
  </si>
  <si>
    <t xml:space="preserve">All members</t>
  </si>
  <si>
    <t xml:space="preserve">Week 3 Day 1</t>
  </si>
  <si>
    <t xml:space="preserve">☐ Done</t>
  </si>
  <si>
    <t xml:space="preserve">Set up shared Google Sheet using ML Feature Matrix as template</t>
  </si>
  <si>
    <t xml:space="preserve">Team lead</t>
  </si>
  <si>
    <t xml:space="preserve">Assign 1 university per team member (uOttawa / Waterloo / uToronto)</t>
  </si>
  <si>
    <t xml:space="preserve">Define a common data quality scoring rubric (1–5 star criteria)</t>
  </si>
  <si>
    <t xml:space="preserve">  STEP 2 — CUDO (Start Here — Easiest &amp; Most Structured)</t>
  </si>
  <si>
    <t xml:space="preserve">Go to cudo.ouac.on.ca — select your university</t>
  </si>
  <si>
    <t xml:space="preserve">Each member</t>
  </si>
  <si>
    <t xml:space="preserve">Week 3</t>
  </si>
  <si>
    <t xml:space="preserve">Download / copy: tuition, enrollment, grad rate, employment rate, entering avg, faculty counts</t>
  </si>
  <si>
    <t xml:space="preserve">Paste values into ML Feature Matrix + note source URL &amp; date</t>
  </si>
  <si>
    <t xml:space="preserve">Note which CUDO fields are missing or outdated — log in Gaps column</t>
  </si>
  <si>
    <t xml:space="preserve">  STEP 3 — OUInfo (Campus &amp; Co-op Data)</t>
  </si>
  <si>
    <t xml:space="preserve">Go to ouinfo.ca — search your university</t>
  </si>
  <si>
    <t xml:space="preserve">Collect: co-op availability, student clubs, campus features, accessibility services</t>
  </si>
  <si>
    <t xml:space="preserve">Note: No bulk export exists — manual copy or simple BeautifulSoup scrape</t>
  </si>
  <si>
    <t xml:space="preserve">  STEP 4 — Institutional Website (Fills Gaps)</t>
  </si>
  <si>
    <t xml:space="preserve">Tuition details page — collect program tuition range, ancillary fees</t>
  </si>
  <si>
    <t xml:space="preserve">Week 3–4</t>
  </si>
  <si>
    <t xml:space="preserve">Financial aid page — collect scholarship types, max amounts</t>
  </si>
  <si>
    <t xml:space="preserve">Sustainability office page — collect initiatives, carbon targets</t>
  </si>
  <si>
    <t xml:space="preserve">EDI / equity office — confirm office exists, note key programs</t>
  </si>
  <si>
    <t xml:space="preserve">Student wellness — confirm mental health services available</t>
  </si>
  <si>
    <t xml:space="preserve">Co-op office (if not in OUInfo) — collect placement rates</t>
  </si>
  <si>
    <t xml:space="preserve">  STEP 5 — Cost of Living Sources</t>
  </si>
  <si>
    <t xml:space="preserve">Go to cmhc-schl.gc.ca — find rental data for your city's CMA</t>
  </si>
  <si>
    <t xml:space="preserve">Week 4</t>
  </si>
  <si>
    <t xml:space="preserve">Go to numbeo.com/cost-of-living — search city for rent, groceries, transit</t>
  </si>
  <si>
    <t xml:space="preserve">Check university website for student transit pass (U-Pass) details</t>
  </si>
  <si>
    <t xml:space="preserve">Record avg 1BR rent, on-campus housing cost, monthly transit cost</t>
  </si>
  <si>
    <t xml:space="preserve">  STEP 6 — Sustainability Rankings</t>
  </si>
  <si>
    <t xml:space="preserve">Search greenmetric.ui.ac.id for your university</t>
  </si>
  <si>
    <t xml:space="preserve">If ranked: record overall score and rank. If not: document as 'not listed'</t>
  </si>
  <si>
    <t xml:space="preserve">Check AASHE STARS (stars.aashe.org) for self-reported sustainability rating</t>
  </si>
  <si>
    <t xml:space="preserve">  STEP 7 — Compile &amp; Validate</t>
  </si>
  <si>
    <t xml:space="preserve">Share individual university data with team — merge into one ML Feature Matrix</t>
  </si>
  <si>
    <t xml:space="preserve">Identify missing values (yellow cells) — document as NaN with explanation</t>
  </si>
  <si>
    <t xml:space="preserve">Score each data source (1–5 quality) in the Source Audit sheet</t>
  </si>
  <si>
    <t xml:space="preserve">Write Python script to load spreadsheet into pandas DataFrame</t>
  </si>
  <si>
    <t xml:space="preserve">Week 5</t>
  </si>
  <si>
    <t xml:space="preserve">Normalize numeric columns (min-max scaling) for ML model input</t>
  </si>
  <si>
    <t xml:space="preserve">Write Data Audit Report — use Source Audit sheet as foundation</t>
  </si>
</sst>
</file>

<file path=xl/styles.xml><?xml version="1.0" encoding="utf-8"?>
<styleSheet xmlns="http://schemas.openxmlformats.org/spreadsheetml/2006/main">
  <numFmts count="3">
    <numFmt numFmtId="164" formatCode="General"/>
    <numFmt numFmtId="165" formatCode="General"/>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0"/>
      <color rgb="FFFFFFFF"/>
      <name val="Arial"/>
      <family val="0"/>
      <charset val="1"/>
    </font>
    <font>
      <b val="true"/>
      <sz val="9"/>
      <color rgb="FF1F3864"/>
      <name val="Arial"/>
      <family val="0"/>
      <charset val="1"/>
    </font>
    <font>
      <sz val="9"/>
      <color rgb="FF1A1A1A"/>
      <name val="Arial"/>
      <family val="0"/>
      <charset val="1"/>
    </font>
    <font>
      <b val="true"/>
      <sz val="14"/>
      <color rgb="FFFFFFFF"/>
      <name val="Arial"/>
      <family val="0"/>
      <charset val="1"/>
    </font>
    <font>
      <b val="true"/>
      <sz val="9"/>
      <color rgb="FFFFFFFF"/>
      <name val="Arial"/>
      <family val="0"/>
      <charset val="1"/>
    </font>
    <font>
      <sz val="11"/>
      <color theme="0"/>
      <name val="Calibri"/>
      <family val="2"/>
      <charset val="1"/>
    </font>
    <font>
      <b val="true"/>
      <sz val="9"/>
      <name val="Arial"/>
      <family val="0"/>
      <charset val="1"/>
    </font>
    <font>
      <sz val="9"/>
      <name val="Arial"/>
      <family val="0"/>
      <charset val="1"/>
    </font>
    <font>
      <sz val="10"/>
      <name val="Arial"/>
      <family val="2"/>
    </font>
    <font>
      <b val="true"/>
      <sz val="15"/>
      <color rgb="FFFFFFFF"/>
      <name val="Arial"/>
      <family val="0"/>
      <charset val="1"/>
    </font>
    <font>
      <b val="true"/>
      <sz val="11"/>
      <color rgb="FFFFFFFF"/>
      <name val="Arial"/>
      <family val="0"/>
      <charset val="1"/>
    </font>
  </fonts>
  <fills count="24">
    <fill>
      <patternFill patternType="none"/>
    </fill>
    <fill>
      <patternFill patternType="gray125"/>
    </fill>
    <fill>
      <patternFill patternType="solid">
        <fgColor rgb="FF1F3864"/>
        <bgColor rgb="FF333399"/>
      </patternFill>
    </fill>
    <fill>
      <patternFill patternType="solid">
        <fgColor rgb="FF2E5FAC"/>
        <bgColor rgb="FF3366FF"/>
      </patternFill>
    </fill>
    <fill>
      <patternFill patternType="solid">
        <fgColor rgb="FFD6E4F7"/>
        <bgColor rgb="FFDCE6F2"/>
      </patternFill>
    </fill>
    <fill>
      <patternFill patternType="solid">
        <fgColor rgb="FF1E8449"/>
        <bgColor rgb="FF008080"/>
      </patternFill>
    </fill>
    <fill>
      <patternFill patternType="solid">
        <fgColor rgb="FFD5F5E3"/>
        <bgColor rgb="FFD1F2EB"/>
      </patternFill>
    </fill>
    <fill>
      <patternFill patternType="solid">
        <fgColor rgb="FFE8F0FE"/>
        <bgColor rgb="FFF2F2F2"/>
      </patternFill>
    </fill>
    <fill>
      <patternFill patternType="solid">
        <fgColor rgb="FFE67E22"/>
        <bgColor rgb="FFFF9900"/>
      </patternFill>
    </fill>
    <fill>
      <patternFill patternType="solid">
        <fgColor rgb="FFFDEBD0"/>
        <bgColor rgb="FFFFF2CC"/>
      </patternFill>
    </fill>
    <fill>
      <patternFill patternType="solid">
        <fgColor rgb="FF17A589"/>
        <bgColor rgb="FF008080"/>
      </patternFill>
    </fill>
    <fill>
      <patternFill patternType="solid">
        <fgColor rgb="FFD1F2EB"/>
        <bgColor rgb="FFD5F5E3"/>
      </patternFill>
    </fill>
    <fill>
      <patternFill patternType="solid">
        <fgColor rgb="FF7D3C98"/>
        <bgColor rgb="FF993366"/>
      </patternFill>
    </fill>
    <fill>
      <patternFill patternType="solid">
        <fgColor rgb="FFF5EEF8"/>
        <bgColor rgb="FFF2F2F2"/>
      </patternFill>
    </fill>
    <fill>
      <patternFill patternType="solid">
        <fgColor rgb="FF595959"/>
        <bgColor rgb="FF7D3C98"/>
      </patternFill>
    </fill>
    <fill>
      <patternFill patternType="solid">
        <fgColor rgb="FFF2F2F2"/>
        <bgColor rgb="FFF5EEF8"/>
      </patternFill>
    </fill>
    <fill>
      <patternFill patternType="solid">
        <fgColor rgb="FF8B4513"/>
        <bgColor rgb="FF993366"/>
      </patternFill>
    </fill>
    <fill>
      <patternFill patternType="solid">
        <fgColor rgb="FFFDF0E0"/>
        <bgColor rgb="FFFDEBD0"/>
      </patternFill>
    </fill>
    <fill>
      <patternFill patternType="solid">
        <fgColor theme="4" tint="0.7999"/>
        <bgColor rgb="FFD6E4F7"/>
      </patternFill>
    </fill>
    <fill>
      <patternFill patternType="solid">
        <fgColor rgb="FFFFF2CC"/>
        <bgColor rgb="FFFDEBD0"/>
      </patternFill>
    </fill>
    <fill>
      <patternFill patternType="solid">
        <fgColor rgb="FFFFFF00"/>
        <bgColor rgb="FFFFCC00"/>
      </patternFill>
    </fill>
    <fill>
      <patternFill patternType="solid">
        <fgColor rgb="FFC6EFCE"/>
        <bgColor rgb="FFD1F2EB"/>
      </patternFill>
    </fill>
    <fill>
      <patternFill patternType="solid">
        <fgColor rgb="FFDDEBF7"/>
        <bgColor rgb="FFDCE6F2"/>
      </patternFill>
    </fill>
    <fill>
      <patternFill patternType="solid">
        <fgColor rgb="FFFFFFFF"/>
        <bgColor rgb="FFF2F2F2"/>
      </patternFill>
    </fill>
  </fills>
  <borders count="1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theme="0"/>
      </left>
      <right style="thin">
        <color theme="0"/>
      </right>
      <top style="thin">
        <color theme="0"/>
      </top>
      <bottom style="thin">
        <color theme="0"/>
      </bottom>
      <diagonal/>
    </border>
    <border diagonalUp="false" diagonalDown="false">
      <left/>
      <right style="thin">
        <color theme="0"/>
      </right>
      <top style="thin">
        <color theme="0"/>
      </top>
      <bottom/>
      <diagonal/>
    </border>
    <border diagonalUp="false" diagonalDown="false">
      <left/>
      <right style="thin">
        <color theme="0"/>
      </right>
      <top/>
      <bottom/>
      <diagonal/>
    </border>
    <border diagonalUp="false" diagonalDown="false">
      <left style="thin">
        <color theme="0"/>
      </left>
      <right style="thin">
        <color rgb="FFBFBFBF"/>
      </right>
      <top/>
      <bottom style="thin">
        <color theme="0"/>
      </bottom>
      <diagonal/>
    </border>
    <border diagonalUp="false" diagonalDown="false">
      <left style="thin">
        <color rgb="FFBFBFBF"/>
      </left>
      <right style="thin">
        <color rgb="FFBFBFBF"/>
      </right>
      <top/>
      <bottom style="thin">
        <color theme="0"/>
      </bottom>
      <diagonal/>
    </border>
    <border diagonalUp="false" diagonalDown="false">
      <left style="thin">
        <color rgb="FFBFBFBF"/>
      </left>
      <right/>
      <top/>
      <bottom style="thin">
        <color theme="0"/>
      </bottom>
      <diagonal/>
    </border>
    <border diagonalUp="false" diagonalDown="false">
      <left/>
      <right style="thin"/>
      <top/>
      <bottom style="thin">
        <color theme="0"/>
      </bottom>
      <diagonal/>
    </border>
    <border diagonalUp="false" diagonalDown="false">
      <left/>
      <right style="thin">
        <color theme="0"/>
      </right>
      <top/>
      <bottom style="thin">
        <color theme="0"/>
      </bottom>
      <diagonal/>
    </border>
    <border diagonalUp="false" diagonalDown="false">
      <left style="thin">
        <color rgb="FFBFBFBF"/>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6" fillId="8" borderId="2"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6" fillId="10" borderId="2"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6" fillId="12" borderId="2" xfId="0" applyFont="true" applyBorder="true" applyAlignment="true" applyProtection="false">
      <alignment horizontal="left"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6" fillId="14" borderId="2" xfId="0" applyFont="true" applyBorder="true" applyAlignment="true" applyProtection="false">
      <alignment horizontal="left" vertical="center" textRotation="0" wrapText="false" indent="0" shrinkToFit="false"/>
      <protection locked="true" hidden="false"/>
    </xf>
    <xf numFmtId="164" fontId="7" fillId="15" borderId="1" xfId="0" applyFont="true" applyBorder="true" applyAlignment="true" applyProtection="false">
      <alignment horizontal="center" vertical="center" textRotation="0" wrapText="true" indent="0" shrinkToFit="false"/>
      <protection locked="true" hidden="false"/>
    </xf>
    <xf numFmtId="164" fontId="8" fillId="15" borderId="1" xfId="0" applyFont="true" applyBorder="true" applyAlignment="true" applyProtection="false">
      <alignment horizontal="left" vertical="center" textRotation="0" wrapText="true" indent="0" shrinkToFit="false"/>
      <protection locked="true" hidden="false"/>
    </xf>
    <xf numFmtId="164" fontId="8" fillId="15" borderId="1" xfId="0" applyFont="true" applyBorder="true" applyAlignment="true" applyProtection="false">
      <alignment horizontal="center" vertical="center" textRotation="0" wrapText="true" indent="0" shrinkToFit="false"/>
      <protection locked="true" hidden="false"/>
    </xf>
    <xf numFmtId="164" fontId="6" fillId="16" borderId="2" xfId="0" applyFont="true" applyBorder="true" applyAlignment="true" applyProtection="false">
      <alignment horizontal="left" vertical="center" textRotation="0" wrapText="false" indent="0" shrinkToFit="false"/>
      <protection locked="true" hidden="false"/>
    </xf>
    <xf numFmtId="164" fontId="7" fillId="17" borderId="1" xfId="0" applyFont="true" applyBorder="true" applyAlignment="true" applyProtection="false">
      <alignment horizontal="center" vertical="center" textRotation="0" wrapText="true" indent="0" shrinkToFit="false"/>
      <protection locked="true" hidden="false"/>
    </xf>
    <xf numFmtId="164" fontId="8" fillId="17" borderId="1" xfId="0" applyFont="true" applyBorder="true" applyAlignment="true" applyProtection="false">
      <alignment horizontal="left" vertical="center" textRotation="0" wrapText="true" indent="0" shrinkToFit="false"/>
      <protection locked="true" hidden="false"/>
    </xf>
    <xf numFmtId="164" fontId="8" fillId="17" borderId="1" xfId="0" applyFont="tru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10" fillId="3" borderId="6" xfId="0" applyFont="true" applyBorder="true" applyAlignment="true" applyProtection="false">
      <alignment horizontal="center" vertical="center" textRotation="0" wrapText="true" indent="0" shrinkToFit="false"/>
      <protection locked="true" hidden="false"/>
    </xf>
    <xf numFmtId="164" fontId="10" fillId="3" borderId="7" xfId="0" applyFont="true" applyBorder="true" applyAlignment="true" applyProtection="false">
      <alignment horizontal="center" vertical="center" textRotation="0" wrapText="true" indent="0" shrinkToFit="false"/>
      <protection locked="true" hidden="false"/>
    </xf>
    <xf numFmtId="164" fontId="10" fillId="14" borderId="7" xfId="0" applyFont="true" applyBorder="true" applyAlignment="true" applyProtection="false">
      <alignment horizontal="center" vertical="center" textRotation="0" wrapText="true" indent="0" shrinkToFit="false"/>
      <protection locked="true" hidden="false"/>
    </xf>
    <xf numFmtId="164" fontId="10" fillId="5" borderId="7" xfId="0" applyFont="true" applyBorder="true" applyAlignment="true" applyProtection="false">
      <alignment horizontal="center" vertical="center" textRotation="0" wrapText="true" indent="0" shrinkToFit="false"/>
      <protection locked="true" hidden="false"/>
    </xf>
    <xf numFmtId="164" fontId="10" fillId="2" borderId="7" xfId="0" applyFont="true" applyBorder="true" applyAlignment="true" applyProtection="false">
      <alignment horizontal="center" vertical="center" textRotation="0" wrapText="true" indent="0" shrinkToFit="false"/>
      <protection locked="true" hidden="false"/>
    </xf>
    <xf numFmtId="164" fontId="10" fillId="10" borderId="7" xfId="0" applyFont="true" applyBorder="true" applyAlignment="true" applyProtection="false">
      <alignment horizontal="center" vertical="center" textRotation="0" wrapText="true" indent="0" shrinkToFit="false"/>
      <protection locked="true" hidden="false"/>
    </xf>
    <xf numFmtId="164" fontId="10" fillId="12" borderId="7" xfId="0" applyFont="true" applyBorder="true" applyAlignment="true" applyProtection="false">
      <alignment horizontal="center" vertical="center" textRotation="0" wrapText="true" indent="0" shrinkToFit="false"/>
      <protection locked="true" hidden="false"/>
    </xf>
    <xf numFmtId="164" fontId="10" fillId="8" borderId="7" xfId="0" applyFont="true" applyBorder="true" applyAlignment="true" applyProtection="false">
      <alignment horizontal="center" vertical="center" textRotation="0" wrapText="true" indent="0" shrinkToFit="false"/>
      <protection locked="true" hidden="false"/>
    </xf>
    <xf numFmtId="164" fontId="10" fillId="2" borderId="8" xfId="0" applyFont="true" applyBorder="true" applyAlignment="true" applyProtection="false">
      <alignment horizontal="center" vertical="center" textRotation="0" wrapText="true" indent="0" shrinkToFit="false"/>
      <protection locked="true" hidden="false"/>
    </xf>
    <xf numFmtId="164" fontId="11" fillId="2" borderId="3" xfId="0" applyFont="true" applyBorder="true" applyAlignment="true" applyProtection="false">
      <alignment horizontal="general" vertical="bottom" textRotation="0" wrapText="true" indent="0" shrinkToFit="false"/>
      <protection locked="true" hidden="false"/>
    </xf>
    <xf numFmtId="164" fontId="11" fillId="2" borderId="9" xfId="0" applyFont="true" applyBorder="true" applyAlignment="true" applyProtection="false">
      <alignment horizontal="general" vertical="bottom" textRotation="0" wrapText="tru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0" fillId="18" borderId="0" xfId="0" applyFont="false" applyBorder="false" applyAlignment="true" applyProtection="false">
      <alignment horizontal="general" vertical="bottom" textRotation="0" wrapText="false" indent="0" shrinkToFit="false"/>
      <protection locked="true" hidden="false"/>
    </xf>
    <xf numFmtId="164" fontId="12" fillId="4" borderId="11" xfId="0" applyFont="true" applyBorder="true" applyAlignment="true" applyProtection="false">
      <alignment horizontal="center" vertical="center" textRotation="0" wrapText="true" indent="0" shrinkToFit="false"/>
      <protection locked="true" hidden="false"/>
    </xf>
    <xf numFmtId="164" fontId="13" fillId="19" borderId="11" xfId="0" applyFont="true" applyBorder="true" applyAlignment="true" applyProtection="false">
      <alignment horizontal="center" vertical="center" textRotation="0" wrapText="true" indent="0" shrinkToFit="false"/>
      <protection locked="true" hidden="false"/>
    </xf>
    <xf numFmtId="165" fontId="13" fillId="19" borderId="11" xfId="0" applyFont="true" applyBorder="true" applyAlignment="true" applyProtection="false">
      <alignment horizontal="center" vertical="center" textRotation="0" wrapText="true" indent="0" shrinkToFit="false"/>
      <protection locked="true" hidden="false"/>
    </xf>
    <xf numFmtId="164" fontId="13" fillId="20" borderId="11" xfId="0" applyFont="true" applyBorder="true" applyAlignment="true" applyProtection="false">
      <alignment horizontal="center" vertical="center" textRotation="0" wrapText="true" indent="0" shrinkToFit="false"/>
      <protection locked="true" hidden="false"/>
    </xf>
    <xf numFmtId="165" fontId="13" fillId="21" borderId="1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19" borderId="1" xfId="0" applyFont="true" applyBorder="true" applyAlignment="true" applyProtection="false">
      <alignment horizontal="center" vertical="center" textRotation="0" wrapText="true" indent="0" shrinkToFit="false"/>
      <protection locked="true" hidden="false"/>
    </xf>
    <xf numFmtId="166" fontId="13" fillId="19" borderId="1" xfId="0" applyFont="true" applyBorder="true" applyAlignment="true" applyProtection="false">
      <alignment horizontal="center" vertical="center" textRotation="0" wrapText="true" indent="0" shrinkToFit="false"/>
      <protection locked="true" hidden="false"/>
    </xf>
    <xf numFmtId="165" fontId="13" fillId="19" borderId="1" xfId="0" applyFont="true" applyBorder="true" applyAlignment="true" applyProtection="false">
      <alignment horizontal="center" vertical="center" textRotation="0" wrapText="true" indent="0" shrinkToFit="false"/>
      <protection locked="true" hidden="false"/>
    </xf>
    <xf numFmtId="164" fontId="13" fillId="20" borderId="1" xfId="0" applyFont="true" applyBorder="true" applyAlignment="true" applyProtection="false">
      <alignment horizontal="center" vertical="center" textRotation="0" wrapText="true" indent="0" shrinkToFit="false"/>
      <protection locked="true" hidden="false"/>
    </xf>
    <xf numFmtId="165" fontId="13" fillId="21"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0" fillId="22" borderId="0" xfId="0" applyFont="true" applyBorder="false" applyAlignment="true" applyProtection="false">
      <alignment horizontal="general" vertical="bottom" textRotation="0" wrapText="false" indent="0" shrinkToFit="false"/>
      <protection locked="true" hidden="false"/>
    </xf>
    <xf numFmtId="165" fontId="0" fillId="22" borderId="0" xfId="0" applyFont="false" applyBorder="false" applyAlignment="true" applyProtection="false">
      <alignment horizontal="general" vertical="bottom" textRotation="0" wrapText="false" indent="0" shrinkToFit="false"/>
      <protection locked="true" hidden="false"/>
    </xf>
    <xf numFmtId="165" fontId="0" fillId="21"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5" fillId="2" borderId="0" xfId="0" applyFont="true" applyBorder="false" applyAlignment="true" applyProtection="false">
      <alignment horizontal="center" vertical="center" textRotation="0" wrapText="false" indent="0" shrinkToFit="false"/>
      <protection locked="true" hidden="false"/>
    </xf>
    <xf numFmtId="164" fontId="16" fillId="2" borderId="2" xfId="0" applyFont="true" applyBorder="true" applyAlignment="true" applyProtection="false">
      <alignment horizontal="left" vertical="center" textRotation="0" wrapText="false" indent="0" shrinkToFit="false"/>
      <protection locked="true" hidden="false"/>
    </xf>
    <xf numFmtId="164" fontId="13" fillId="15" borderId="1" xfId="0" applyFont="true" applyBorder="true" applyAlignment="true" applyProtection="false">
      <alignment horizontal="center" vertical="center" textRotation="0" wrapText="true" indent="0" shrinkToFit="false"/>
      <protection locked="true" hidden="false"/>
    </xf>
    <xf numFmtId="164" fontId="13" fillId="15" borderId="1" xfId="0" applyFont="true" applyBorder="true" applyAlignment="true" applyProtection="false">
      <alignment horizontal="general" vertical="center" textRotation="0" wrapText="true" indent="0" shrinkToFit="false"/>
      <protection locked="true" hidden="false"/>
    </xf>
    <xf numFmtId="164" fontId="13" fillId="15" borderId="1" xfId="0" applyFont="true" applyBorder="true" applyAlignment="true" applyProtection="false">
      <alignment horizontal="left"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13" fillId="23" borderId="1" xfId="0" applyFont="true" applyBorder="true" applyAlignment="true" applyProtection="false">
      <alignment horizontal="center" vertical="center" textRotation="0" wrapText="true" indent="0" shrinkToFit="false"/>
      <protection locked="true" hidden="false"/>
    </xf>
    <xf numFmtId="164" fontId="13" fillId="23" borderId="1" xfId="0" applyFont="true" applyBorder="true" applyAlignment="true" applyProtection="false">
      <alignment horizontal="general" vertical="center" textRotation="0" wrapText="true" indent="0" shrinkToFit="false"/>
      <protection locked="true" hidden="false"/>
    </xf>
    <xf numFmtId="164" fontId="13" fillId="23" borderId="1" xfId="0" applyFont="true" applyBorder="true" applyAlignment="true" applyProtection="false">
      <alignment horizontal="left" vertical="center" textRotation="0" wrapText="true" indent="0" shrinkToFit="false"/>
      <protection locked="true" hidden="false"/>
    </xf>
    <xf numFmtId="164" fontId="12" fillId="23" borderId="1" xfId="0" applyFont="true" applyBorder="true" applyAlignment="true" applyProtection="false">
      <alignment horizontal="center" vertical="center" textRotation="0" wrapText="true" indent="0" shrinkToFit="false"/>
      <protection locked="true" hidden="false"/>
    </xf>
    <xf numFmtId="164" fontId="16" fillId="10" borderId="2" xfId="0" applyFont="true" applyBorder="true" applyAlignment="true" applyProtection="false">
      <alignment horizontal="left" vertical="center" textRotation="0" wrapText="false" indent="0" shrinkToFit="false"/>
      <protection locked="true" hidden="false"/>
    </xf>
    <xf numFmtId="164" fontId="16" fillId="3" borderId="2" xfId="0" applyFont="true" applyBorder="true" applyAlignment="true" applyProtection="false">
      <alignment horizontal="left" vertical="center" textRotation="0" wrapText="false" indent="0" shrinkToFit="false"/>
      <protection locked="true" hidden="false"/>
    </xf>
    <xf numFmtId="164" fontId="16" fillId="5" borderId="2" xfId="0" applyFont="true" applyBorder="true" applyAlignment="true" applyProtection="false">
      <alignment horizontal="left" vertical="center" textRotation="0" wrapText="false" indent="0" shrinkToFit="false"/>
      <protection locked="true" hidden="false"/>
    </xf>
    <xf numFmtId="164" fontId="16" fillId="8" borderId="2" xfId="0" applyFont="true" applyBorder="true" applyAlignment="true" applyProtection="false">
      <alignment horizontal="left" vertical="center" textRotation="0" wrapText="false" indent="0" shrinkToFit="false"/>
      <protection locked="true" hidden="false"/>
    </xf>
    <xf numFmtId="164" fontId="16" fillId="14" borderId="2"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fgColor rgb="FF2E5FAC"/>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8449"/>
      <rgbColor rgb="FFBFBFBF"/>
      <rgbColor rgb="FF808080"/>
      <rgbColor rgb="FFE8F0FE"/>
      <rgbColor rgb="FF7D3C98"/>
      <rgbColor rgb="FFFFF2CC"/>
      <rgbColor rgb="FFD1F2EB"/>
      <rgbColor rgb="FF660066"/>
      <rgbColor rgb="FFFF8080"/>
      <rgbColor rgb="FF2E5FAC"/>
      <rgbColor rgb="FFD6E4F7"/>
      <rgbColor rgb="FF000080"/>
      <rgbColor rgb="FFFF00FF"/>
      <rgbColor rgb="FFF2F2F2"/>
      <rgbColor rgb="FF00FFFF"/>
      <rgbColor rgb="FF800080"/>
      <rgbColor rgb="FF800000"/>
      <rgbColor rgb="FF008080"/>
      <rgbColor rgb="FF0000FF"/>
      <rgbColor rgb="FF00CCFF"/>
      <rgbColor rgb="FFDDEBF7"/>
      <rgbColor rgb="FFD5F5E3"/>
      <rgbColor rgb="FFFDEBD0"/>
      <rgbColor rgb="FFC6EFCE"/>
      <rgbColor rgb="FFF5EEF8"/>
      <rgbColor rgb="FFDCE6F2"/>
      <rgbColor rgb="FFFDF0E0"/>
      <rgbColor rgb="FF3366FF"/>
      <rgbColor rgb="FF33CCCC"/>
      <rgbColor rgb="FF99CC00"/>
      <rgbColor rgb="FFFFCC00"/>
      <rgbColor rgb="FFFF9900"/>
      <rgbColor rgb="FFE67E22"/>
      <rgbColor rgb="FF595959"/>
      <rgbColor rgb="FF969696"/>
      <rgbColor rgb="FF1F3864"/>
      <rgbColor rgb="FF17A589"/>
      <rgbColor rgb="FF003300"/>
      <rgbColor rgb="FF333300"/>
      <rgbColor rgb="FF8B4513"/>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1" activeCellId="0" sqref="A41"/>
    </sheetView>
  </sheetViews>
  <sheetFormatPr defaultColWidth="8.714843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2"/>
    <col collapsed="false" customWidth="true" hidden="false" outlineLevel="0" max="4" min="4" style="1" width="38"/>
    <col collapsed="false" customWidth="true" hidden="false" outlineLevel="0" max="5" min="5" style="1" width="20"/>
    <col collapsed="false" customWidth="true" hidden="false" outlineLevel="0" max="6" min="6" style="1" width="12"/>
    <col collapsed="false" customWidth="true" hidden="false" outlineLevel="0" max="7" min="7" style="1" width="22"/>
    <col collapsed="false" customWidth="true" hidden="false" outlineLevel="0" max="8" min="8" style="1" width="20"/>
    <col collapsed="false" customWidth="true" hidden="false" outlineLevel="0" max="9" min="9" style="1" width="35"/>
    <col collapsed="false" customWidth="true" hidden="false" outlineLevel="0" max="10" min="10" style="1" width="16"/>
    <col collapsed="false" customWidth="true" hidden="false" outlineLevel="0" max="12" min="11" style="1" width="13"/>
    <col collapsed="false" customWidth="true" hidden="false" outlineLevel="0" max="13" min="13" style="1" width="32"/>
  </cols>
  <sheetData>
    <row r="1" customFormat="false" ht="36" hidden="false" customHeight="true" outlineLevel="0" collapsed="false">
      <c r="A1" s="2" t="s">
        <v>0</v>
      </c>
      <c r="B1" s="2"/>
      <c r="C1" s="2"/>
      <c r="D1" s="2"/>
      <c r="E1" s="2"/>
      <c r="F1" s="2"/>
      <c r="G1" s="2"/>
      <c r="H1" s="2"/>
      <c r="I1" s="2"/>
      <c r="J1" s="2"/>
      <c r="K1" s="2"/>
      <c r="L1" s="2"/>
      <c r="M1" s="2"/>
    </row>
    <row r="2" customFormat="false" ht="21.75" hidden="false" customHeight="true" outlineLevel="0" collapsed="false">
      <c r="A2" s="3" t="s">
        <v>1</v>
      </c>
      <c r="B2" s="3"/>
      <c r="C2" s="3"/>
      <c r="D2" s="3"/>
      <c r="E2" s="3"/>
      <c r="F2" s="3"/>
      <c r="G2" s="3"/>
      <c r="H2" s="3"/>
      <c r="I2" s="3"/>
      <c r="J2" s="3"/>
      <c r="K2" s="3"/>
      <c r="L2" s="3"/>
      <c r="M2" s="3"/>
    </row>
    <row r="3" customFormat="false" ht="39.75"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19.5" hidden="false" customHeight="true" outlineLevel="0" collapsed="false">
      <c r="A4" s="5" t="s">
        <v>15</v>
      </c>
      <c r="B4" s="5"/>
      <c r="C4" s="5"/>
      <c r="D4" s="5"/>
      <c r="E4" s="5"/>
      <c r="F4" s="5"/>
      <c r="G4" s="5"/>
      <c r="H4" s="5"/>
      <c r="I4" s="5"/>
      <c r="J4" s="5"/>
      <c r="K4" s="5"/>
      <c r="L4" s="5"/>
      <c r="M4" s="5"/>
    </row>
    <row r="5" customFormat="false" ht="30" hidden="false" customHeight="true" outlineLevel="0" collapsed="false">
      <c r="A5" s="6" t="s">
        <v>16</v>
      </c>
      <c r="B5" s="7" t="s">
        <v>17</v>
      </c>
      <c r="C5" s="7" t="s">
        <v>18</v>
      </c>
      <c r="D5" s="7" t="s">
        <v>19</v>
      </c>
      <c r="E5" s="7" t="s">
        <v>20</v>
      </c>
      <c r="F5" s="8" t="s">
        <v>21</v>
      </c>
      <c r="G5" s="7" t="s">
        <v>22</v>
      </c>
      <c r="H5" s="7" t="s">
        <v>23</v>
      </c>
      <c r="I5" s="7" t="s">
        <v>24</v>
      </c>
      <c r="J5" s="8" t="s">
        <v>25</v>
      </c>
      <c r="K5" s="8" t="s">
        <v>26</v>
      </c>
      <c r="L5" s="8" t="s">
        <v>27</v>
      </c>
      <c r="M5" s="7"/>
    </row>
    <row r="6" customFormat="false" ht="30" hidden="false" customHeight="true" outlineLevel="0" collapsed="false">
      <c r="A6" s="6" t="s">
        <v>28</v>
      </c>
      <c r="B6" s="7" t="s">
        <v>17</v>
      </c>
      <c r="C6" s="7" t="s">
        <v>29</v>
      </c>
      <c r="D6" s="7" t="s">
        <v>30</v>
      </c>
      <c r="E6" s="7" t="s">
        <v>31</v>
      </c>
      <c r="F6" s="8" t="s">
        <v>32</v>
      </c>
      <c r="G6" s="7" t="s">
        <v>33</v>
      </c>
      <c r="H6" s="7" t="s">
        <v>34</v>
      </c>
      <c r="I6" s="7" t="s">
        <v>35</v>
      </c>
      <c r="J6" s="8" t="s">
        <v>36</v>
      </c>
      <c r="K6" s="8" t="s">
        <v>37</v>
      </c>
      <c r="L6" s="8" t="s">
        <v>27</v>
      </c>
      <c r="M6" s="7" t="s">
        <v>38</v>
      </c>
    </row>
    <row r="7" customFormat="false" ht="30" hidden="false" customHeight="true" outlineLevel="0" collapsed="false">
      <c r="A7" s="6" t="s">
        <v>39</v>
      </c>
      <c r="B7" s="7" t="s">
        <v>17</v>
      </c>
      <c r="C7" s="7" t="s">
        <v>40</v>
      </c>
      <c r="D7" s="7" t="s">
        <v>41</v>
      </c>
      <c r="E7" s="7" t="s">
        <v>42</v>
      </c>
      <c r="F7" s="8" t="s">
        <v>43</v>
      </c>
      <c r="G7" s="7" t="s">
        <v>44</v>
      </c>
      <c r="H7" s="7" t="s">
        <v>45</v>
      </c>
      <c r="I7" s="7" t="s">
        <v>46</v>
      </c>
      <c r="J7" s="8" t="s">
        <v>47</v>
      </c>
      <c r="K7" s="8" t="s">
        <v>37</v>
      </c>
      <c r="L7" s="8" t="s">
        <v>48</v>
      </c>
      <c r="M7" s="7" t="s">
        <v>49</v>
      </c>
    </row>
    <row r="8" customFormat="false" ht="30" hidden="false" customHeight="true" outlineLevel="0" collapsed="false">
      <c r="A8" s="6" t="s">
        <v>50</v>
      </c>
      <c r="B8" s="7" t="s">
        <v>17</v>
      </c>
      <c r="C8" s="7" t="s">
        <v>51</v>
      </c>
      <c r="D8" s="7" t="s">
        <v>52</v>
      </c>
      <c r="E8" s="7" t="s">
        <v>53</v>
      </c>
      <c r="F8" s="8" t="s">
        <v>54</v>
      </c>
      <c r="G8" s="7" t="s">
        <v>55</v>
      </c>
      <c r="H8" s="7" t="s">
        <v>56</v>
      </c>
      <c r="I8" s="7" t="s">
        <v>57</v>
      </c>
      <c r="J8" s="8" t="s">
        <v>47</v>
      </c>
      <c r="K8" s="8" t="s">
        <v>37</v>
      </c>
      <c r="L8" s="8" t="s">
        <v>58</v>
      </c>
      <c r="M8" s="7" t="s">
        <v>59</v>
      </c>
    </row>
    <row r="9" customFormat="false" ht="30" hidden="false" customHeight="true" outlineLevel="0" collapsed="false">
      <c r="A9" s="6" t="s">
        <v>60</v>
      </c>
      <c r="B9" s="7" t="s">
        <v>17</v>
      </c>
      <c r="C9" s="7" t="s">
        <v>61</v>
      </c>
      <c r="D9" s="7" t="s">
        <v>62</v>
      </c>
      <c r="E9" s="7" t="s">
        <v>63</v>
      </c>
      <c r="F9" s="8" t="s">
        <v>64</v>
      </c>
      <c r="G9" s="7" t="s">
        <v>65</v>
      </c>
      <c r="H9" s="7" t="s">
        <v>66</v>
      </c>
      <c r="I9" s="7" t="s">
        <v>67</v>
      </c>
      <c r="J9" s="8" t="s">
        <v>68</v>
      </c>
      <c r="K9" s="8" t="s">
        <v>37</v>
      </c>
      <c r="L9" s="8" t="s">
        <v>48</v>
      </c>
      <c r="M9" s="7" t="s">
        <v>69</v>
      </c>
    </row>
    <row r="10" customFormat="false" ht="30" hidden="false" customHeight="true" outlineLevel="0" collapsed="false">
      <c r="A10" s="6" t="s">
        <v>70</v>
      </c>
      <c r="B10" s="7" t="s">
        <v>17</v>
      </c>
      <c r="C10" s="7" t="s">
        <v>71</v>
      </c>
      <c r="D10" s="7" t="s">
        <v>72</v>
      </c>
      <c r="E10" s="7" t="s">
        <v>73</v>
      </c>
      <c r="F10" s="8" t="s">
        <v>43</v>
      </c>
      <c r="G10" s="7" t="s">
        <v>74</v>
      </c>
      <c r="H10" s="7" t="s">
        <v>75</v>
      </c>
      <c r="I10" s="7" t="s">
        <v>24</v>
      </c>
      <c r="J10" s="8" t="s">
        <v>25</v>
      </c>
      <c r="K10" s="8" t="s">
        <v>26</v>
      </c>
      <c r="L10" s="8" t="s">
        <v>27</v>
      </c>
      <c r="M10" s="7" t="s">
        <v>76</v>
      </c>
    </row>
    <row r="11" customFormat="false" ht="30" hidden="false" customHeight="true" outlineLevel="0" collapsed="false">
      <c r="A11" s="6" t="s">
        <v>77</v>
      </c>
      <c r="B11" s="7" t="s">
        <v>17</v>
      </c>
      <c r="C11" s="7" t="s">
        <v>78</v>
      </c>
      <c r="D11" s="7" t="s">
        <v>79</v>
      </c>
      <c r="E11" s="7" t="s">
        <v>80</v>
      </c>
      <c r="F11" s="8" t="s">
        <v>54</v>
      </c>
      <c r="G11" s="7" t="s">
        <v>81</v>
      </c>
      <c r="H11" s="7" t="s">
        <v>82</v>
      </c>
      <c r="I11" s="7" t="s">
        <v>67</v>
      </c>
      <c r="J11" s="8" t="s">
        <v>83</v>
      </c>
      <c r="K11" s="8" t="s">
        <v>37</v>
      </c>
      <c r="L11" s="8" t="s">
        <v>27</v>
      </c>
      <c r="M11" s="7"/>
    </row>
    <row r="12" customFormat="false" ht="30" hidden="false" customHeight="true" outlineLevel="0" collapsed="false">
      <c r="A12" s="6" t="s">
        <v>84</v>
      </c>
      <c r="B12" s="7" t="s">
        <v>17</v>
      </c>
      <c r="C12" s="7" t="s">
        <v>85</v>
      </c>
      <c r="D12" s="7" t="s">
        <v>86</v>
      </c>
      <c r="E12" s="7" t="s">
        <v>87</v>
      </c>
      <c r="F12" s="8" t="s">
        <v>88</v>
      </c>
      <c r="G12" s="7" t="s">
        <v>89</v>
      </c>
      <c r="H12" s="7" t="s">
        <v>82</v>
      </c>
      <c r="I12" s="7" t="s">
        <v>67</v>
      </c>
      <c r="J12" s="8" t="s">
        <v>83</v>
      </c>
      <c r="K12" s="8" t="s">
        <v>37</v>
      </c>
      <c r="L12" s="8" t="s">
        <v>27</v>
      </c>
      <c r="M12" s="7"/>
    </row>
    <row r="13" customFormat="false" ht="30" hidden="false" customHeight="true" outlineLevel="0" collapsed="false">
      <c r="A13" s="6" t="s">
        <v>90</v>
      </c>
      <c r="B13" s="7" t="s">
        <v>17</v>
      </c>
      <c r="C13" s="7" t="s">
        <v>91</v>
      </c>
      <c r="D13" s="7" t="s">
        <v>92</v>
      </c>
      <c r="E13" s="7" t="s">
        <v>93</v>
      </c>
      <c r="F13" s="8" t="s">
        <v>54</v>
      </c>
      <c r="G13" s="7" t="s">
        <v>94</v>
      </c>
      <c r="H13" s="7" t="s">
        <v>82</v>
      </c>
      <c r="I13" s="7" t="s">
        <v>67</v>
      </c>
      <c r="J13" s="8" t="s">
        <v>83</v>
      </c>
      <c r="K13" s="8" t="s">
        <v>37</v>
      </c>
      <c r="L13" s="8" t="s">
        <v>27</v>
      </c>
      <c r="M13" s="7"/>
    </row>
    <row r="14" customFormat="false" ht="30" hidden="false" customHeight="true" outlineLevel="0" collapsed="false">
      <c r="A14" s="6" t="s">
        <v>95</v>
      </c>
      <c r="B14" s="6"/>
      <c r="C14" s="6"/>
      <c r="D14" s="6"/>
      <c r="E14" s="6"/>
      <c r="F14" s="6"/>
      <c r="G14" s="6"/>
      <c r="H14" s="6"/>
      <c r="I14" s="6"/>
      <c r="J14" s="6"/>
      <c r="K14" s="6"/>
      <c r="L14" s="6"/>
      <c r="M14" s="6"/>
    </row>
    <row r="15" customFormat="false" ht="19.5" hidden="false" customHeight="true" outlineLevel="0" collapsed="false">
      <c r="A15" s="9" t="s">
        <v>96</v>
      </c>
      <c r="B15" s="9"/>
      <c r="C15" s="9"/>
      <c r="D15" s="9"/>
      <c r="E15" s="9"/>
      <c r="F15" s="9"/>
      <c r="G15" s="9"/>
      <c r="H15" s="9"/>
      <c r="I15" s="9"/>
      <c r="J15" s="9"/>
      <c r="K15" s="9"/>
      <c r="L15" s="9"/>
      <c r="M15" s="9"/>
    </row>
    <row r="16" customFormat="false" ht="30" hidden="false" customHeight="true" outlineLevel="0" collapsed="false">
      <c r="A16" s="10" t="s">
        <v>97</v>
      </c>
      <c r="B16" s="11" t="s">
        <v>98</v>
      </c>
      <c r="C16" s="11" t="s">
        <v>99</v>
      </c>
      <c r="D16" s="11" t="s">
        <v>100</v>
      </c>
      <c r="E16" s="11" t="s">
        <v>101</v>
      </c>
      <c r="F16" s="12" t="s">
        <v>54</v>
      </c>
      <c r="G16" s="11" t="s">
        <v>102</v>
      </c>
      <c r="H16" s="11" t="s">
        <v>103</v>
      </c>
      <c r="I16" s="11" t="s">
        <v>104</v>
      </c>
      <c r="J16" s="12" t="s">
        <v>36</v>
      </c>
      <c r="K16" s="12" t="s">
        <v>37</v>
      </c>
      <c r="L16" s="12" t="s">
        <v>27</v>
      </c>
      <c r="M16" s="11" t="s">
        <v>105</v>
      </c>
    </row>
    <row r="17" customFormat="false" ht="30" hidden="false" customHeight="true" outlineLevel="0" collapsed="false">
      <c r="A17" s="10" t="s">
        <v>106</v>
      </c>
      <c r="B17" s="11" t="s">
        <v>98</v>
      </c>
      <c r="C17" s="11" t="s">
        <v>107</v>
      </c>
      <c r="D17" s="11" t="s">
        <v>108</v>
      </c>
      <c r="E17" s="11" t="s">
        <v>109</v>
      </c>
      <c r="F17" s="12" t="s">
        <v>54</v>
      </c>
      <c r="G17" s="11" t="s">
        <v>110</v>
      </c>
      <c r="H17" s="11" t="s">
        <v>103</v>
      </c>
      <c r="I17" s="11" t="s">
        <v>111</v>
      </c>
      <c r="J17" s="12" t="s">
        <v>112</v>
      </c>
      <c r="K17" s="12" t="s">
        <v>37</v>
      </c>
      <c r="L17" s="12" t="s">
        <v>27</v>
      </c>
      <c r="M17" s="11"/>
    </row>
    <row r="18" customFormat="false" ht="30" hidden="false" customHeight="true" outlineLevel="0" collapsed="false">
      <c r="A18" s="10" t="s">
        <v>113</v>
      </c>
      <c r="B18" s="11" t="s">
        <v>98</v>
      </c>
      <c r="C18" s="11" t="s">
        <v>114</v>
      </c>
      <c r="D18" s="11" t="s">
        <v>115</v>
      </c>
      <c r="E18" s="11" t="s">
        <v>116</v>
      </c>
      <c r="F18" s="12" t="s">
        <v>54</v>
      </c>
      <c r="G18" s="11" t="s">
        <v>117</v>
      </c>
      <c r="H18" s="11" t="s">
        <v>118</v>
      </c>
      <c r="I18" s="11" t="s">
        <v>111</v>
      </c>
      <c r="J18" s="12" t="s">
        <v>112</v>
      </c>
      <c r="K18" s="12" t="s">
        <v>37</v>
      </c>
      <c r="L18" s="12" t="s">
        <v>48</v>
      </c>
      <c r="M18" s="11"/>
    </row>
    <row r="19" customFormat="false" ht="30" hidden="false" customHeight="true" outlineLevel="0" collapsed="false">
      <c r="A19" s="10" t="s">
        <v>119</v>
      </c>
      <c r="B19" s="10"/>
      <c r="C19" s="10"/>
      <c r="D19" s="10"/>
      <c r="E19" s="10"/>
      <c r="F19" s="10"/>
      <c r="G19" s="10"/>
      <c r="H19" s="10"/>
      <c r="I19" s="10"/>
      <c r="J19" s="10"/>
      <c r="K19" s="10"/>
      <c r="L19" s="10"/>
      <c r="M19" s="10"/>
    </row>
    <row r="20" customFormat="false" ht="30" hidden="false" customHeight="true" outlineLevel="0" collapsed="false">
      <c r="A20" s="10" t="s">
        <v>120</v>
      </c>
      <c r="B20" s="11" t="s">
        <v>98</v>
      </c>
      <c r="C20" s="11" t="s">
        <v>121</v>
      </c>
      <c r="D20" s="11" t="s">
        <v>122</v>
      </c>
      <c r="E20" s="11" t="s">
        <v>123</v>
      </c>
      <c r="F20" s="12" t="s">
        <v>54</v>
      </c>
      <c r="G20" s="11" t="s">
        <v>124</v>
      </c>
      <c r="H20" s="11" t="s">
        <v>125</v>
      </c>
      <c r="I20" s="11" t="s">
        <v>126</v>
      </c>
      <c r="J20" s="12" t="s">
        <v>112</v>
      </c>
      <c r="K20" s="12" t="s">
        <v>37</v>
      </c>
      <c r="L20" s="12" t="s">
        <v>58</v>
      </c>
      <c r="M20" s="11"/>
    </row>
    <row r="21" customFormat="false" ht="19.5" hidden="false" customHeight="true" outlineLevel="0" collapsed="false">
      <c r="A21" s="13" t="s">
        <v>127</v>
      </c>
      <c r="B21" s="13"/>
      <c r="C21" s="13"/>
      <c r="D21" s="13"/>
      <c r="E21" s="13"/>
      <c r="F21" s="13"/>
      <c r="G21" s="13"/>
      <c r="H21" s="13"/>
      <c r="I21" s="13"/>
      <c r="J21" s="13"/>
      <c r="K21" s="13"/>
      <c r="L21" s="13"/>
      <c r="M21" s="13"/>
    </row>
    <row r="22" customFormat="false" ht="30" hidden="false" customHeight="true" outlineLevel="0" collapsed="false">
      <c r="A22" s="14" t="s">
        <v>128</v>
      </c>
      <c r="B22" s="15" t="s">
        <v>129</v>
      </c>
      <c r="C22" s="15" t="s">
        <v>130</v>
      </c>
      <c r="D22" s="15" t="s">
        <v>131</v>
      </c>
      <c r="E22" s="15" t="s">
        <v>132</v>
      </c>
      <c r="F22" s="16" t="s">
        <v>21</v>
      </c>
      <c r="G22" s="15" t="s">
        <v>133</v>
      </c>
      <c r="H22" s="15" t="s">
        <v>23</v>
      </c>
      <c r="I22" s="15" t="s">
        <v>24</v>
      </c>
      <c r="J22" s="16" t="s">
        <v>25</v>
      </c>
      <c r="K22" s="16" t="s">
        <v>26</v>
      </c>
      <c r="L22" s="16" t="s">
        <v>27</v>
      </c>
      <c r="M22" s="15"/>
    </row>
    <row r="23" customFormat="false" ht="30" hidden="false" customHeight="true" outlineLevel="0" collapsed="false">
      <c r="A23" s="14" t="s">
        <v>134</v>
      </c>
      <c r="B23" s="15" t="s">
        <v>129</v>
      </c>
      <c r="C23" s="15" t="s">
        <v>135</v>
      </c>
      <c r="D23" s="15" t="s">
        <v>136</v>
      </c>
      <c r="E23" s="15" t="s">
        <v>137</v>
      </c>
      <c r="F23" s="16" t="s">
        <v>21</v>
      </c>
      <c r="G23" s="15" t="s">
        <v>138</v>
      </c>
      <c r="H23" s="15" t="s">
        <v>139</v>
      </c>
      <c r="I23" s="15" t="s">
        <v>140</v>
      </c>
      <c r="J23" s="16" t="s">
        <v>25</v>
      </c>
      <c r="K23" s="16" t="s">
        <v>26</v>
      </c>
      <c r="L23" s="16" t="s">
        <v>27</v>
      </c>
      <c r="M23" s="15" t="s">
        <v>141</v>
      </c>
    </row>
    <row r="24" customFormat="false" ht="30" hidden="false" customHeight="true" outlineLevel="0" collapsed="false">
      <c r="A24" s="14" t="s">
        <v>142</v>
      </c>
      <c r="B24" s="15" t="s">
        <v>129</v>
      </c>
      <c r="C24" s="15" t="s">
        <v>143</v>
      </c>
      <c r="D24" s="15" t="s">
        <v>144</v>
      </c>
      <c r="E24" s="15" t="s">
        <v>145</v>
      </c>
      <c r="F24" s="16" t="s">
        <v>54</v>
      </c>
      <c r="G24" s="15" t="s">
        <v>146</v>
      </c>
      <c r="H24" s="15" t="s">
        <v>147</v>
      </c>
      <c r="I24" s="15" t="s">
        <v>148</v>
      </c>
      <c r="J24" s="16" t="s">
        <v>25</v>
      </c>
      <c r="K24" s="16" t="s">
        <v>26</v>
      </c>
      <c r="L24" s="16" t="s">
        <v>27</v>
      </c>
      <c r="M24" s="15"/>
    </row>
    <row r="25" customFormat="false" ht="30" hidden="false" customHeight="true" outlineLevel="0" collapsed="false">
      <c r="A25" s="14" t="s">
        <v>149</v>
      </c>
      <c r="B25" s="15" t="s">
        <v>129</v>
      </c>
      <c r="C25" s="15" t="s">
        <v>150</v>
      </c>
      <c r="D25" s="15" t="s">
        <v>151</v>
      </c>
      <c r="E25" s="15" t="s">
        <v>152</v>
      </c>
      <c r="F25" s="16" t="s">
        <v>54</v>
      </c>
      <c r="G25" s="15" t="s">
        <v>153</v>
      </c>
      <c r="H25" s="15" t="s">
        <v>147</v>
      </c>
      <c r="I25" s="15" t="s">
        <v>148</v>
      </c>
      <c r="J25" s="16" t="s">
        <v>25</v>
      </c>
      <c r="K25" s="16" t="s">
        <v>26</v>
      </c>
      <c r="L25" s="16" t="s">
        <v>27</v>
      </c>
      <c r="M25" s="15"/>
    </row>
    <row r="26" customFormat="false" ht="19.5" hidden="false" customHeight="true" outlineLevel="0" collapsed="false">
      <c r="A26" s="17" t="s">
        <v>154</v>
      </c>
      <c r="B26" s="17"/>
      <c r="C26" s="17"/>
      <c r="D26" s="17"/>
      <c r="E26" s="17"/>
      <c r="F26" s="17"/>
      <c r="G26" s="17"/>
      <c r="H26" s="17"/>
      <c r="I26" s="17"/>
      <c r="J26" s="17"/>
      <c r="K26" s="17"/>
      <c r="L26" s="17"/>
      <c r="M26" s="17"/>
    </row>
    <row r="27" customFormat="false" ht="30" hidden="false" customHeight="true" outlineLevel="0" collapsed="false">
      <c r="A27" s="18" t="s">
        <v>155</v>
      </c>
      <c r="B27" s="19" t="s">
        <v>156</v>
      </c>
      <c r="C27" s="19" t="s">
        <v>157</v>
      </c>
      <c r="D27" s="19" t="s">
        <v>158</v>
      </c>
      <c r="E27" s="19" t="s">
        <v>159</v>
      </c>
      <c r="F27" s="20" t="s">
        <v>54</v>
      </c>
      <c r="G27" s="19" t="s">
        <v>160</v>
      </c>
      <c r="H27" s="19" t="s">
        <v>161</v>
      </c>
      <c r="I27" s="19" t="s">
        <v>162</v>
      </c>
      <c r="J27" s="20" t="s">
        <v>163</v>
      </c>
      <c r="K27" s="20" t="s">
        <v>37</v>
      </c>
      <c r="L27" s="20" t="s">
        <v>48</v>
      </c>
      <c r="M27" s="19" t="s">
        <v>164</v>
      </c>
    </row>
    <row r="28" customFormat="false" ht="30" hidden="false" customHeight="true" outlineLevel="0" collapsed="false">
      <c r="A28" s="18" t="s">
        <v>165</v>
      </c>
      <c r="B28" s="19" t="s">
        <v>156</v>
      </c>
      <c r="C28" s="19" t="s">
        <v>166</v>
      </c>
      <c r="D28" s="19" t="s">
        <v>167</v>
      </c>
      <c r="E28" s="19" t="s">
        <v>168</v>
      </c>
      <c r="F28" s="20" t="s">
        <v>54</v>
      </c>
      <c r="G28" s="19" t="s">
        <v>169</v>
      </c>
      <c r="H28" s="19" t="s">
        <v>170</v>
      </c>
      <c r="I28" s="19" t="s">
        <v>171</v>
      </c>
      <c r="J28" s="20" t="s">
        <v>47</v>
      </c>
      <c r="K28" s="20" t="s">
        <v>37</v>
      </c>
      <c r="L28" s="20" t="s">
        <v>27</v>
      </c>
      <c r="M28" s="19" t="s">
        <v>172</v>
      </c>
    </row>
    <row r="29" customFormat="false" ht="30" hidden="false" customHeight="true" outlineLevel="0" collapsed="false">
      <c r="A29" s="18" t="s">
        <v>173</v>
      </c>
      <c r="B29" s="19" t="s">
        <v>156</v>
      </c>
      <c r="C29" s="19" t="s">
        <v>174</v>
      </c>
      <c r="D29" s="19" t="s">
        <v>175</v>
      </c>
      <c r="E29" s="19" t="s">
        <v>176</v>
      </c>
      <c r="F29" s="20" t="s">
        <v>54</v>
      </c>
      <c r="G29" s="19" t="s">
        <v>177</v>
      </c>
      <c r="H29" s="19" t="s">
        <v>178</v>
      </c>
      <c r="I29" s="19" t="s">
        <v>179</v>
      </c>
      <c r="J29" s="20" t="s">
        <v>112</v>
      </c>
      <c r="K29" s="20" t="s">
        <v>37</v>
      </c>
      <c r="L29" s="20" t="s">
        <v>58</v>
      </c>
      <c r="M29" s="19" t="s">
        <v>180</v>
      </c>
    </row>
    <row r="30" customFormat="false" ht="30" hidden="false" customHeight="true" outlineLevel="0" collapsed="false">
      <c r="A30" s="18" t="s">
        <v>181</v>
      </c>
      <c r="B30" s="19" t="s">
        <v>156</v>
      </c>
      <c r="C30" s="19" t="s">
        <v>182</v>
      </c>
      <c r="D30" s="19" t="s">
        <v>183</v>
      </c>
      <c r="E30" s="19" t="s">
        <v>184</v>
      </c>
      <c r="F30" s="20" t="s">
        <v>54</v>
      </c>
      <c r="G30" s="19" t="s">
        <v>185</v>
      </c>
      <c r="H30" s="19" t="s">
        <v>186</v>
      </c>
      <c r="I30" s="19" t="s">
        <v>140</v>
      </c>
      <c r="J30" s="20" t="s">
        <v>187</v>
      </c>
      <c r="K30" s="20" t="s">
        <v>37</v>
      </c>
      <c r="L30" s="20" t="s">
        <v>58</v>
      </c>
      <c r="M30" s="19" t="s">
        <v>188</v>
      </c>
    </row>
    <row r="31" customFormat="false" ht="19.5" hidden="false" customHeight="true" outlineLevel="0" collapsed="false">
      <c r="A31" s="21" t="s">
        <v>189</v>
      </c>
      <c r="B31" s="21"/>
      <c r="C31" s="21"/>
      <c r="D31" s="21"/>
      <c r="E31" s="21"/>
      <c r="F31" s="21"/>
      <c r="G31" s="21"/>
      <c r="H31" s="21"/>
      <c r="I31" s="21"/>
      <c r="J31" s="21"/>
      <c r="K31" s="21"/>
      <c r="L31" s="21"/>
      <c r="M31" s="21"/>
    </row>
    <row r="32" customFormat="false" ht="30" hidden="false" customHeight="true" outlineLevel="0" collapsed="false">
      <c r="A32" s="22" t="s">
        <v>190</v>
      </c>
      <c r="B32" s="23" t="s">
        <v>191</v>
      </c>
      <c r="C32" s="23" t="s">
        <v>192</v>
      </c>
      <c r="D32" s="23" t="s">
        <v>193</v>
      </c>
      <c r="E32" s="23" t="s">
        <v>194</v>
      </c>
      <c r="F32" s="24" t="s">
        <v>88</v>
      </c>
      <c r="G32" s="23" t="s">
        <v>195</v>
      </c>
      <c r="H32" s="23" t="s">
        <v>196</v>
      </c>
      <c r="I32" s="23" t="s">
        <v>197</v>
      </c>
      <c r="J32" s="24" t="s">
        <v>198</v>
      </c>
      <c r="K32" s="24" t="s">
        <v>37</v>
      </c>
      <c r="L32" s="24" t="s">
        <v>58</v>
      </c>
      <c r="M32" s="23" t="s">
        <v>199</v>
      </c>
    </row>
    <row r="33" customFormat="false" ht="30" hidden="false" customHeight="true" outlineLevel="0" collapsed="false">
      <c r="A33" s="22" t="s">
        <v>200</v>
      </c>
      <c r="B33" s="23" t="s">
        <v>191</v>
      </c>
      <c r="C33" s="23" t="s">
        <v>201</v>
      </c>
      <c r="D33" s="23" t="s">
        <v>202</v>
      </c>
      <c r="E33" s="23" t="s">
        <v>203</v>
      </c>
      <c r="F33" s="24" t="s">
        <v>88</v>
      </c>
      <c r="G33" s="23" t="s">
        <v>204</v>
      </c>
      <c r="H33" s="23" t="s">
        <v>205</v>
      </c>
      <c r="I33" s="23" t="s">
        <v>206</v>
      </c>
      <c r="J33" s="24" t="s">
        <v>112</v>
      </c>
      <c r="K33" s="24" t="s">
        <v>37</v>
      </c>
      <c r="L33" s="24" t="s">
        <v>48</v>
      </c>
      <c r="M33" s="23" t="s">
        <v>207</v>
      </c>
    </row>
    <row r="34" customFormat="false" ht="30" hidden="false" customHeight="true" outlineLevel="0" collapsed="false">
      <c r="A34" s="22" t="s">
        <v>208</v>
      </c>
      <c r="B34" s="23" t="s">
        <v>191</v>
      </c>
      <c r="C34" s="23" t="s">
        <v>209</v>
      </c>
      <c r="D34" s="23" t="s">
        <v>210</v>
      </c>
      <c r="E34" s="23" t="s">
        <v>211</v>
      </c>
      <c r="F34" s="24" t="s">
        <v>32</v>
      </c>
      <c r="G34" s="23" t="s">
        <v>212</v>
      </c>
      <c r="H34" s="23" t="s">
        <v>213</v>
      </c>
      <c r="I34" s="23" t="s">
        <v>206</v>
      </c>
      <c r="J34" s="24" t="s">
        <v>112</v>
      </c>
      <c r="K34" s="24" t="s">
        <v>37</v>
      </c>
      <c r="L34" s="24" t="s">
        <v>58</v>
      </c>
      <c r="M34" s="23" t="s">
        <v>214</v>
      </c>
    </row>
    <row r="35" customFormat="false" ht="30" hidden="false" customHeight="true" outlineLevel="0" collapsed="false">
      <c r="A35" s="22" t="s">
        <v>215</v>
      </c>
      <c r="B35" s="23" t="s">
        <v>191</v>
      </c>
      <c r="C35" s="23" t="s">
        <v>216</v>
      </c>
      <c r="D35" s="23" t="s">
        <v>217</v>
      </c>
      <c r="E35" s="23" t="s">
        <v>218</v>
      </c>
      <c r="F35" s="24" t="s">
        <v>64</v>
      </c>
      <c r="G35" s="23" t="s">
        <v>219</v>
      </c>
      <c r="H35" s="23" t="s">
        <v>220</v>
      </c>
      <c r="I35" s="23" t="s">
        <v>140</v>
      </c>
      <c r="J35" s="24" t="s">
        <v>68</v>
      </c>
      <c r="K35" s="24" t="s">
        <v>37</v>
      </c>
      <c r="L35" s="24" t="s">
        <v>58</v>
      </c>
      <c r="M35" s="23" t="s">
        <v>221</v>
      </c>
    </row>
    <row r="36" customFormat="false" ht="19.5" hidden="false" customHeight="true" outlineLevel="0" collapsed="false">
      <c r="A36" s="25" t="s">
        <v>222</v>
      </c>
      <c r="B36" s="25"/>
      <c r="C36" s="25"/>
      <c r="D36" s="25"/>
      <c r="E36" s="25"/>
      <c r="F36" s="25"/>
      <c r="G36" s="25"/>
      <c r="H36" s="25"/>
      <c r="I36" s="25"/>
      <c r="J36" s="25"/>
      <c r="K36" s="25"/>
      <c r="L36" s="25"/>
      <c r="M36" s="25"/>
    </row>
    <row r="37" customFormat="false" ht="30" hidden="false" customHeight="true" outlineLevel="0" collapsed="false">
      <c r="A37" s="26" t="s">
        <v>223</v>
      </c>
      <c r="B37" s="27" t="s">
        <v>224</v>
      </c>
      <c r="C37" s="27" t="s">
        <v>225</v>
      </c>
      <c r="D37" s="27" t="s">
        <v>226</v>
      </c>
      <c r="E37" s="27" t="s">
        <v>227</v>
      </c>
      <c r="F37" s="28" t="s">
        <v>43</v>
      </c>
      <c r="G37" s="27" t="s">
        <v>74</v>
      </c>
      <c r="H37" s="27" t="s">
        <v>228</v>
      </c>
      <c r="I37" s="27" t="s">
        <v>229</v>
      </c>
      <c r="J37" s="28" t="s">
        <v>25</v>
      </c>
      <c r="K37" s="28" t="s">
        <v>37</v>
      </c>
      <c r="L37" s="28" t="s">
        <v>27</v>
      </c>
      <c r="M37" s="27"/>
    </row>
    <row r="38" customFormat="false" ht="30" hidden="false" customHeight="true" outlineLevel="0" collapsed="false">
      <c r="A38" s="26" t="s">
        <v>230</v>
      </c>
      <c r="B38" s="27" t="s">
        <v>224</v>
      </c>
      <c r="C38" s="27" t="s">
        <v>231</v>
      </c>
      <c r="D38" s="27" t="s">
        <v>232</v>
      </c>
      <c r="E38" s="27" t="s">
        <v>233</v>
      </c>
      <c r="F38" s="28" t="s">
        <v>43</v>
      </c>
      <c r="G38" s="27" t="s">
        <v>74</v>
      </c>
      <c r="H38" s="27" t="s">
        <v>234</v>
      </c>
      <c r="I38" s="27" t="s">
        <v>24</v>
      </c>
      <c r="J38" s="28" t="s">
        <v>47</v>
      </c>
      <c r="K38" s="28" t="s">
        <v>37</v>
      </c>
      <c r="L38" s="28" t="s">
        <v>58</v>
      </c>
      <c r="M38" s="27" t="s">
        <v>235</v>
      </c>
    </row>
    <row r="39" customFormat="false" ht="30" hidden="false" customHeight="true" outlineLevel="0" collapsed="false">
      <c r="A39" s="26" t="s">
        <v>236</v>
      </c>
      <c r="B39" s="27" t="s">
        <v>224</v>
      </c>
      <c r="C39" s="27" t="s">
        <v>237</v>
      </c>
      <c r="D39" s="27" t="s">
        <v>238</v>
      </c>
      <c r="E39" s="27" t="s">
        <v>239</v>
      </c>
      <c r="F39" s="28" t="s">
        <v>43</v>
      </c>
      <c r="G39" s="27" t="s">
        <v>74</v>
      </c>
      <c r="H39" s="27" t="s">
        <v>240</v>
      </c>
      <c r="I39" s="27" t="s">
        <v>241</v>
      </c>
      <c r="J39" s="28" t="s">
        <v>25</v>
      </c>
      <c r="K39" s="28" t="s">
        <v>37</v>
      </c>
      <c r="L39" s="28" t="s">
        <v>48</v>
      </c>
      <c r="M39" s="27" t="s">
        <v>242</v>
      </c>
    </row>
    <row r="40" customFormat="false" ht="30" hidden="false" customHeight="true" outlineLevel="0" collapsed="false">
      <c r="A40" s="26" t="s">
        <v>243</v>
      </c>
      <c r="B40" s="27" t="s">
        <v>224</v>
      </c>
      <c r="C40" s="27" t="s">
        <v>244</v>
      </c>
      <c r="D40" s="27" t="s">
        <v>245</v>
      </c>
      <c r="E40" s="27" t="s">
        <v>246</v>
      </c>
      <c r="F40" s="28" t="s">
        <v>54</v>
      </c>
      <c r="G40" s="27" t="s">
        <v>247</v>
      </c>
      <c r="H40" s="27" t="s">
        <v>248</v>
      </c>
      <c r="I40" s="27" t="s">
        <v>67</v>
      </c>
      <c r="J40" s="28" t="s">
        <v>83</v>
      </c>
      <c r="K40" s="28" t="s">
        <v>37</v>
      </c>
      <c r="L40" s="28" t="s">
        <v>48</v>
      </c>
      <c r="M40" s="27"/>
    </row>
    <row r="41" customFormat="false" ht="19.5" hidden="false" customHeight="true" outlineLevel="0" collapsed="false">
      <c r="A41" s="29" t="s">
        <v>249</v>
      </c>
      <c r="B41" s="29"/>
      <c r="C41" s="29"/>
      <c r="D41" s="29"/>
      <c r="E41" s="29"/>
      <c r="F41" s="29"/>
      <c r="G41" s="29"/>
      <c r="H41" s="29"/>
      <c r="I41" s="29"/>
      <c r="J41" s="29"/>
      <c r="K41" s="29"/>
      <c r="L41" s="29"/>
      <c r="M41" s="29"/>
    </row>
    <row r="42" customFormat="false" ht="30" hidden="false" customHeight="true" outlineLevel="0" collapsed="false">
      <c r="A42" s="30" t="s">
        <v>250</v>
      </c>
      <c r="B42" s="31" t="s">
        <v>251</v>
      </c>
      <c r="C42" s="31" t="s">
        <v>252</v>
      </c>
      <c r="D42" s="31" t="s">
        <v>253</v>
      </c>
      <c r="E42" s="31" t="s">
        <v>254</v>
      </c>
      <c r="F42" s="32" t="s">
        <v>43</v>
      </c>
      <c r="G42" s="31" t="s">
        <v>74</v>
      </c>
      <c r="H42" s="31" t="s">
        <v>255</v>
      </c>
      <c r="I42" s="31" t="s">
        <v>256</v>
      </c>
      <c r="J42" s="32" t="s">
        <v>25</v>
      </c>
      <c r="K42" s="32" t="s">
        <v>37</v>
      </c>
      <c r="L42" s="32" t="s">
        <v>27</v>
      </c>
      <c r="M42" s="31" t="s">
        <v>257</v>
      </c>
    </row>
    <row r="43" customFormat="false" ht="30" hidden="false" customHeight="true" outlineLevel="0" collapsed="false">
      <c r="A43" s="30" t="s">
        <v>258</v>
      </c>
      <c r="B43" s="31" t="s">
        <v>251</v>
      </c>
      <c r="C43" s="31" t="s">
        <v>259</v>
      </c>
      <c r="D43" s="31" t="s">
        <v>260</v>
      </c>
      <c r="E43" s="31" t="s">
        <v>261</v>
      </c>
      <c r="F43" s="32" t="s">
        <v>88</v>
      </c>
      <c r="G43" s="31" t="s">
        <v>262</v>
      </c>
      <c r="H43" s="31" t="s">
        <v>263</v>
      </c>
      <c r="I43" s="31" t="s">
        <v>264</v>
      </c>
      <c r="J43" s="32" t="s">
        <v>47</v>
      </c>
      <c r="K43" s="32" t="s">
        <v>37</v>
      </c>
      <c r="L43" s="32" t="s">
        <v>58</v>
      </c>
      <c r="M43" s="31"/>
    </row>
    <row r="44" customFormat="false" ht="30" hidden="false" customHeight="true" outlineLevel="0" collapsed="false">
      <c r="A44" s="30" t="s">
        <v>265</v>
      </c>
      <c r="B44" s="31" t="s">
        <v>251</v>
      </c>
      <c r="C44" s="31" t="s">
        <v>266</v>
      </c>
      <c r="D44" s="31" t="s">
        <v>267</v>
      </c>
      <c r="E44" s="31" t="s">
        <v>268</v>
      </c>
      <c r="F44" s="32" t="s">
        <v>43</v>
      </c>
      <c r="G44" s="31" t="s">
        <v>74</v>
      </c>
      <c r="H44" s="31" t="s">
        <v>269</v>
      </c>
      <c r="I44" s="31" t="s">
        <v>270</v>
      </c>
      <c r="J44" s="32" t="s">
        <v>25</v>
      </c>
      <c r="K44" s="32" t="s">
        <v>37</v>
      </c>
      <c r="L44" s="32" t="s">
        <v>48</v>
      </c>
      <c r="M44" s="31" t="s">
        <v>271</v>
      </c>
    </row>
    <row r="45" customFormat="false" ht="30" hidden="false" customHeight="true" outlineLevel="0" collapsed="false">
      <c r="A45" s="30" t="s">
        <v>272</v>
      </c>
      <c r="B45" s="31" t="s">
        <v>251</v>
      </c>
      <c r="C45" s="31" t="s">
        <v>273</v>
      </c>
      <c r="D45" s="31" t="s">
        <v>274</v>
      </c>
      <c r="E45" s="31" t="s">
        <v>275</v>
      </c>
      <c r="F45" s="32" t="s">
        <v>88</v>
      </c>
      <c r="G45" s="31" t="s">
        <v>276</v>
      </c>
      <c r="H45" s="31" t="s">
        <v>277</v>
      </c>
      <c r="I45" s="31" t="s">
        <v>278</v>
      </c>
      <c r="J45" s="32" t="s">
        <v>112</v>
      </c>
      <c r="K45" s="32" t="s">
        <v>37</v>
      </c>
      <c r="L45" s="32" t="s">
        <v>48</v>
      </c>
      <c r="M45" s="31"/>
    </row>
    <row r="46" customFormat="false" ht="30" hidden="false" customHeight="true" outlineLevel="0" collapsed="false">
      <c r="A46" s="30" t="s">
        <v>279</v>
      </c>
      <c r="B46" s="31" t="s">
        <v>251</v>
      </c>
      <c r="C46" s="31" t="s">
        <v>280</v>
      </c>
      <c r="D46" s="31" t="s">
        <v>281</v>
      </c>
      <c r="E46" s="31" t="s">
        <v>282</v>
      </c>
      <c r="F46" s="32" t="s">
        <v>64</v>
      </c>
      <c r="G46" s="31" t="s">
        <v>283</v>
      </c>
      <c r="H46" s="31" t="s">
        <v>284</v>
      </c>
      <c r="I46" s="31" t="s">
        <v>140</v>
      </c>
      <c r="J46" s="32" t="s">
        <v>25</v>
      </c>
      <c r="K46" s="32" t="s">
        <v>37</v>
      </c>
      <c r="L46" s="32" t="s">
        <v>58</v>
      </c>
      <c r="M46" s="31" t="s">
        <v>285</v>
      </c>
    </row>
    <row r="47" customFormat="false" ht="19.5" hidden="false" customHeight="true" outlineLevel="0" collapsed="false">
      <c r="A47" s="33" t="s">
        <v>286</v>
      </c>
      <c r="B47" s="33"/>
      <c r="C47" s="33"/>
      <c r="D47" s="33"/>
      <c r="E47" s="33"/>
      <c r="F47" s="33"/>
      <c r="G47" s="33"/>
      <c r="H47" s="33"/>
      <c r="I47" s="33"/>
      <c r="J47" s="33"/>
      <c r="K47" s="33"/>
      <c r="L47" s="33"/>
      <c r="M47" s="33"/>
    </row>
    <row r="48" customFormat="false" ht="30" hidden="false" customHeight="true" outlineLevel="0" collapsed="false">
      <c r="A48" s="34" t="s">
        <v>287</v>
      </c>
      <c r="B48" s="35" t="s">
        <v>288</v>
      </c>
      <c r="C48" s="35" t="s">
        <v>289</v>
      </c>
      <c r="D48" s="35" t="s">
        <v>290</v>
      </c>
      <c r="E48" s="35" t="s">
        <v>291</v>
      </c>
      <c r="F48" s="36" t="s">
        <v>88</v>
      </c>
      <c r="G48" s="35" t="s">
        <v>292</v>
      </c>
      <c r="H48" s="35" t="s">
        <v>293</v>
      </c>
      <c r="I48" s="35" t="s">
        <v>294</v>
      </c>
      <c r="J48" s="36" t="s">
        <v>47</v>
      </c>
      <c r="K48" s="36" t="s">
        <v>37</v>
      </c>
      <c r="L48" s="36" t="s">
        <v>48</v>
      </c>
      <c r="M48" s="35" t="s">
        <v>295</v>
      </c>
    </row>
    <row r="49" customFormat="false" ht="30" hidden="false" customHeight="true" outlineLevel="0" collapsed="false">
      <c r="A49" s="34" t="s">
        <v>296</v>
      </c>
      <c r="B49" s="35" t="s">
        <v>288</v>
      </c>
      <c r="C49" s="35" t="s">
        <v>297</v>
      </c>
      <c r="D49" s="35" t="s">
        <v>298</v>
      </c>
      <c r="E49" s="35" t="s">
        <v>299</v>
      </c>
      <c r="F49" s="36" t="s">
        <v>88</v>
      </c>
      <c r="G49" s="35" t="s">
        <v>300</v>
      </c>
      <c r="H49" s="35" t="s">
        <v>301</v>
      </c>
      <c r="I49" s="35" t="s">
        <v>302</v>
      </c>
      <c r="J49" s="36" t="s">
        <v>47</v>
      </c>
      <c r="K49" s="36" t="s">
        <v>37</v>
      </c>
      <c r="L49" s="36" t="s">
        <v>48</v>
      </c>
      <c r="M49" s="35" t="s">
        <v>303</v>
      </c>
    </row>
    <row r="50" customFormat="false" ht="30" hidden="false" customHeight="true" outlineLevel="0" collapsed="false">
      <c r="A50" s="34" t="s">
        <v>304</v>
      </c>
      <c r="B50" s="35" t="s">
        <v>288</v>
      </c>
      <c r="C50" s="35" t="s">
        <v>305</v>
      </c>
      <c r="D50" s="35" t="s">
        <v>306</v>
      </c>
      <c r="E50" s="35" t="s">
        <v>307</v>
      </c>
      <c r="F50" s="36" t="s">
        <v>54</v>
      </c>
      <c r="G50" s="35" t="s">
        <v>308</v>
      </c>
      <c r="H50" s="35" t="s">
        <v>82</v>
      </c>
      <c r="I50" s="35" t="s">
        <v>67</v>
      </c>
      <c r="J50" s="36" t="s">
        <v>83</v>
      </c>
      <c r="K50" s="36" t="s">
        <v>37</v>
      </c>
      <c r="L50" s="36" t="s">
        <v>27</v>
      </c>
      <c r="M50" s="35"/>
    </row>
  </sheetData>
  <autoFilter ref="A3:M3"/>
  <mergeCells count="12">
    <mergeCell ref="A1:M1"/>
    <mergeCell ref="A2:M2"/>
    <mergeCell ref="A4:M4"/>
    <mergeCell ref="A14:M14"/>
    <mergeCell ref="A15:M15"/>
    <mergeCell ref="A19:M19"/>
    <mergeCell ref="A21:M21"/>
    <mergeCell ref="A26:M26"/>
    <mergeCell ref="A31:M31"/>
    <mergeCell ref="A36:M36"/>
    <mergeCell ref="A41:M41"/>
    <mergeCell ref="A47:M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W4" activePane="bottomRight" state="frozen"/>
      <selection pane="topLeft" activeCell="A1" activeCellId="0" sqref="A1"/>
      <selection pane="topRight" activeCell="W1" activeCellId="0" sqref="W1"/>
      <selection pane="bottomLeft" activeCell="A4" activeCellId="0" sqref="A4"/>
      <selection pane="bottomRight" activeCell="L14" activeCellId="0" sqref="L14"/>
    </sheetView>
  </sheetViews>
  <sheetFormatPr defaultColWidth="8.71484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8"/>
    <col collapsed="false" customWidth="true" hidden="false" outlineLevel="0" max="4" min="4" style="1" width="14"/>
    <col collapsed="false" customWidth="true" hidden="false" outlineLevel="0" max="11" min="5" style="1" width="18"/>
    <col collapsed="false" customWidth="true" hidden="false" outlineLevel="0" max="12" min="12" style="1" width="16"/>
    <col collapsed="false" customWidth="true" hidden="false" outlineLevel="0" max="13" min="13" style="1" width="22.57"/>
    <col collapsed="false" customWidth="true" hidden="false" outlineLevel="0" max="14" min="14" style="1" width="16"/>
    <col collapsed="false" customWidth="true" hidden="false" outlineLevel="0" max="16" min="15" style="1" width="14"/>
    <col collapsed="false" customWidth="true" hidden="false" outlineLevel="0" max="17" min="17" style="1" width="22.29"/>
    <col collapsed="false" customWidth="true" hidden="false" outlineLevel="0" max="18" min="18" style="1" width="14"/>
    <col collapsed="false" customWidth="true" hidden="false" outlineLevel="0" max="22" min="19" style="1" width="16"/>
    <col collapsed="false" customWidth="true" hidden="false" outlineLevel="0" max="23" min="23" style="1" width="17.86"/>
    <col collapsed="false" customWidth="true" hidden="false" outlineLevel="0" max="32" min="24" style="1" width="16"/>
    <col collapsed="false" customWidth="true" hidden="false" outlineLevel="0" max="33" min="33" style="1" width="20.42"/>
    <col collapsed="false" customWidth="true" hidden="false" outlineLevel="0" max="34" min="34" style="1" width="18.29"/>
  </cols>
  <sheetData>
    <row r="1" customFormat="false" ht="31.5" hidden="false" customHeight="true" outlineLevel="0" collapsed="false">
      <c r="A1" s="37" t="s">
        <v>309</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8"/>
    </row>
    <row r="2" customFormat="false" ht="19.5" hidden="false" customHeight="true" outlineLevel="0" collapsed="false">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9"/>
    </row>
    <row r="3" customFormat="false" ht="49.5" hidden="false" customHeight="true" outlineLevel="0" collapsed="false">
      <c r="A3" s="40" t="s">
        <v>20</v>
      </c>
      <c r="B3" s="41" t="s">
        <v>132</v>
      </c>
      <c r="C3" s="41" t="s">
        <v>137</v>
      </c>
      <c r="D3" s="42" t="s">
        <v>310</v>
      </c>
      <c r="E3" s="43" t="s">
        <v>101</v>
      </c>
      <c r="F3" s="43" t="s">
        <v>109</v>
      </c>
      <c r="G3" s="43" t="s">
        <v>116</v>
      </c>
      <c r="H3" s="43" t="s">
        <v>311</v>
      </c>
      <c r="I3" s="43" t="s">
        <v>312</v>
      </c>
      <c r="J3" s="44" t="s">
        <v>42</v>
      </c>
      <c r="K3" s="44" t="s">
        <v>53</v>
      </c>
      <c r="L3" s="45" t="s">
        <v>218</v>
      </c>
      <c r="M3" s="45" t="s">
        <v>203</v>
      </c>
      <c r="N3" s="45" t="s">
        <v>313</v>
      </c>
      <c r="O3" s="46" t="s">
        <v>314</v>
      </c>
      <c r="P3" s="46" t="s">
        <v>227</v>
      </c>
      <c r="Q3" s="46" t="s">
        <v>233</v>
      </c>
      <c r="R3" s="46" t="s">
        <v>246</v>
      </c>
      <c r="S3" s="47" t="s">
        <v>159</v>
      </c>
      <c r="T3" s="47" t="s">
        <v>168</v>
      </c>
      <c r="U3" s="47" t="s">
        <v>176</v>
      </c>
      <c r="V3" s="41" t="s">
        <v>184</v>
      </c>
      <c r="W3" s="44" t="s">
        <v>80</v>
      </c>
      <c r="X3" s="44" t="s">
        <v>87</v>
      </c>
      <c r="Y3" s="44" t="s">
        <v>93</v>
      </c>
      <c r="Z3" s="44" t="s">
        <v>315</v>
      </c>
      <c r="AA3" s="44" t="s">
        <v>307</v>
      </c>
      <c r="AB3" s="42" t="s">
        <v>282</v>
      </c>
      <c r="AC3" s="42" t="s">
        <v>254</v>
      </c>
      <c r="AD3" s="42" t="s">
        <v>316</v>
      </c>
      <c r="AE3" s="42" t="s">
        <v>275</v>
      </c>
      <c r="AF3" s="48" t="s">
        <v>73</v>
      </c>
      <c r="AG3" s="49" t="s">
        <v>317</v>
      </c>
      <c r="AH3" s="50" t="s">
        <v>318</v>
      </c>
      <c r="AI3" s="51"/>
      <c r="AJ3" s="52"/>
    </row>
    <row r="4" customFormat="false" ht="27.75" hidden="false" customHeight="true" outlineLevel="0" collapsed="false">
      <c r="A4" s="53" t="s">
        <v>22</v>
      </c>
      <c r="B4" s="54" t="s">
        <v>133</v>
      </c>
      <c r="C4" s="54" t="s">
        <v>138</v>
      </c>
      <c r="D4" s="54" t="s">
        <v>319</v>
      </c>
      <c r="E4" s="54" t="n">
        <v>8000</v>
      </c>
      <c r="F4" s="54" t="n">
        <v>40500</v>
      </c>
      <c r="G4" s="54" t="n">
        <v>1304</v>
      </c>
      <c r="H4" s="54" t="n">
        <v>7760</v>
      </c>
      <c r="I4" s="54" t="n">
        <v>3900</v>
      </c>
      <c r="J4" s="55" t="b">
        <f aca="false">TRUE()</f>
        <v>1</v>
      </c>
      <c r="K4" s="54" t="n">
        <v>90.8</v>
      </c>
      <c r="L4" s="56" t="n">
        <v>3</v>
      </c>
      <c r="M4" s="54" t="n">
        <v>2040</v>
      </c>
      <c r="N4" s="54" t="n">
        <v>90</v>
      </c>
      <c r="O4" s="54" t="n">
        <v>5</v>
      </c>
      <c r="P4" s="55" t="b">
        <f aca="false">TRUE()</f>
        <v>1</v>
      </c>
      <c r="Q4" s="55" t="b">
        <f aca="false">TRUE()</f>
        <v>1</v>
      </c>
      <c r="R4" s="54" t="n">
        <v>26</v>
      </c>
      <c r="S4" s="54" t="n">
        <v>1900</v>
      </c>
      <c r="T4" s="54" t="n">
        <v>138.5</v>
      </c>
      <c r="U4" s="54" t="n">
        <v>0.95</v>
      </c>
      <c r="V4" s="57" t="n">
        <f aca="false">ROUND((0.6*((S4-1500)/(2200-1500))+0.2*((T4-0)/(138.5-0))+0.2*((U4-0.89)/(1.08-0.89)))*10,1)</f>
        <v>6.1</v>
      </c>
      <c r="W4" s="54" t="n">
        <v>25</v>
      </c>
      <c r="X4" s="54" t="n">
        <v>40000</v>
      </c>
      <c r="Y4" s="54" t="n">
        <v>71</v>
      </c>
      <c r="Z4" s="54" t="n">
        <v>97</v>
      </c>
      <c r="AA4" s="54" t="n">
        <v>75</v>
      </c>
      <c r="AB4" s="56" t="n">
        <v>2</v>
      </c>
      <c r="AC4" s="55" t="b">
        <f aca="false">TRUE()</f>
        <v>1</v>
      </c>
      <c r="AD4" s="54" t="n">
        <v>300</v>
      </c>
      <c r="AE4" s="54" t="n">
        <v>3500</v>
      </c>
      <c r="AF4" s="55" t="b">
        <f aca="false">TRUE()</f>
        <v>1</v>
      </c>
      <c r="AG4" s="54" t="s">
        <v>320</v>
      </c>
      <c r="AH4" s="54" t="n">
        <v>76</v>
      </c>
    </row>
    <row r="5" customFormat="false" ht="27.75" hidden="false" customHeight="true" outlineLevel="0" collapsed="false">
      <c r="A5" s="58" t="s">
        <v>321</v>
      </c>
      <c r="B5" s="59" t="s">
        <v>322</v>
      </c>
      <c r="C5" s="59" t="s">
        <v>323</v>
      </c>
      <c r="D5" s="59" t="s">
        <v>324</v>
      </c>
      <c r="E5" s="60" t="n">
        <v>13500</v>
      </c>
      <c r="F5" s="59" t="n">
        <v>62500</v>
      </c>
      <c r="G5" s="59" t="n">
        <v>1500</v>
      </c>
      <c r="H5" s="59"/>
      <c r="I5" s="59"/>
      <c r="J5" s="61" t="b">
        <f aca="false">TRUE()</f>
        <v>1</v>
      </c>
      <c r="K5" s="59" t="n">
        <v>96.8</v>
      </c>
      <c r="L5" s="62" t="n">
        <v>3</v>
      </c>
      <c r="M5" s="62" t="n">
        <v>2050</v>
      </c>
      <c r="N5" s="59" t="n">
        <v>60</v>
      </c>
      <c r="O5" s="62" t="n">
        <v>3</v>
      </c>
      <c r="P5" s="61" t="b">
        <f aca="false">TRUE()</f>
        <v>1</v>
      </c>
      <c r="Q5" s="61" t="b">
        <f aca="false">TRUE()</f>
        <v>1</v>
      </c>
      <c r="R5" s="59" t="n">
        <v>22</v>
      </c>
      <c r="S5" s="59" t="n">
        <v>1800</v>
      </c>
      <c r="T5" s="59" t="n">
        <v>104</v>
      </c>
      <c r="U5" s="59" t="n">
        <v>0.9</v>
      </c>
      <c r="V5" s="63" t="n">
        <f aca="false">ROUND((0.6*((S5-1500)/(2200-1500))+0.2*((T5-0)/(138.5-0))+0.2*((U5-0.89)/(1.08-0.89)))*10,1)</f>
        <v>4.2</v>
      </c>
      <c r="W5" s="59" t="n">
        <v>26.9</v>
      </c>
      <c r="X5" s="59" t="n">
        <v>41000</v>
      </c>
      <c r="Y5" s="59" t="n">
        <v>86.4</v>
      </c>
      <c r="Z5" s="59" t="n">
        <v>94.9</v>
      </c>
      <c r="AA5" s="59" t="n">
        <v>91.1</v>
      </c>
      <c r="AB5" s="62" t="n">
        <v>3</v>
      </c>
      <c r="AC5" s="61" t="b">
        <f aca="false">TRUE()</f>
        <v>1</v>
      </c>
      <c r="AD5" s="59"/>
      <c r="AE5" s="59" t="n">
        <v>9800</v>
      </c>
      <c r="AF5" s="61" t="b">
        <f aca="false">FALSE()</f>
        <v>0</v>
      </c>
      <c r="AG5" s="62" t="s">
        <v>325</v>
      </c>
      <c r="AH5" s="62" t="n">
        <v>120</v>
      </c>
    </row>
    <row r="6" customFormat="false" ht="27.75" hidden="false" customHeight="true" outlineLevel="0" collapsed="false">
      <c r="A6" s="64" t="s">
        <v>326</v>
      </c>
      <c r="B6" s="59" t="s">
        <v>327</v>
      </c>
      <c r="C6" s="59" t="s">
        <v>328</v>
      </c>
      <c r="D6" s="59" t="s">
        <v>329</v>
      </c>
      <c r="E6" s="62" t="n">
        <v>9500</v>
      </c>
      <c r="F6" s="59" t="n">
        <v>60000</v>
      </c>
      <c r="G6" s="59" t="n">
        <v>2000</v>
      </c>
      <c r="H6" s="59"/>
      <c r="I6" s="59" t="n">
        <v>6000</v>
      </c>
      <c r="J6" s="61" t="b">
        <f aca="false">TRUE()</f>
        <v>1</v>
      </c>
      <c r="K6" s="59"/>
      <c r="L6" s="62" t="n">
        <v>5</v>
      </c>
      <c r="M6" s="62" t="n">
        <v>2050</v>
      </c>
      <c r="N6" s="59" t="n">
        <v>1</v>
      </c>
      <c r="O6" s="62" t="n">
        <v>4</v>
      </c>
      <c r="P6" s="61" t="b">
        <f aca="false">TRUE()</f>
        <v>1</v>
      </c>
      <c r="Q6" s="61" t="b">
        <f aca="false">TRUE()</f>
        <v>1</v>
      </c>
      <c r="R6" s="59" t="n">
        <v>28.75</v>
      </c>
      <c r="S6" s="59" t="n">
        <v>2200</v>
      </c>
      <c r="T6" s="59" t="n">
        <v>128</v>
      </c>
      <c r="U6" s="59" t="n">
        <v>1.08</v>
      </c>
      <c r="V6" s="63" t="n">
        <f aca="false">ROUND((0.6*((S6-1500)/(2200-1500))+0.2*((T6-0)/(138.5-0))+0.2*((U6-0.89)/(1.08-0.89)))*10,1)</f>
        <v>9.8</v>
      </c>
      <c r="W6" s="59" t="n">
        <v>26</v>
      </c>
      <c r="X6" s="59" t="n">
        <v>102431</v>
      </c>
      <c r="Y6" s="59" t="n">
        <v>79.4</v>
      </c>
      <c r="Z6" s="59" t="n">
        <v>92.9</v>
      </c>
      <c r="AA6" s="59" t="n">
        <v>88</v>
      </c>
      <c r="AB6" s="62" t="n">
        <v>1</v>
      </c>
      <c r="AC6" s="61" t="b">
        <f aca="false">TRUE()</f>
        <v>1</v>
      </c>
      <c r="AD6" s="59" t="n">
        <v>1000</v>
      </c>
      <c r="AE6" s="59" t="n">
        <v>17000</v>
      </c>
      <c r="AF6" s="61" t="b">
        <f aca="false">FALSE()</f>
        <v>0</v>
      </c>
      <c r="AG6" s="62" t="s">
        <v>330</v>
      </c>
      <c r="AH6" s="62" t="n">
        <v>150</v>
      </c>
    </row>
    <row r="7" customFormat="false" ht="15" hidden="false" customHeight="true" outlineLevel="0" collapsed="false">
      <c r="A7" s="65" t="s">
        <v>331</v>
      </c>
      <c r="B7" s="65" t="s">
        <v>332</v>
      </c>
      <c r="C7" s="65" t="s">
        <v>323</v>
      </c>
      <c r="D7" s="65" t="s">
        <v>324</v>
      </c>
      <c r="E7" s="65" t="n">
        <v>8500</v>
      </c>
      <c r="F7" s="65" t="n">
        <v>34000</v>
      </c>
      <c r="G7" s="65" t="n">
        <v>1400</v>
      </c>
      <c r="H7" s="65" t="n">
        <v>9200</v>
      </c>
      <c r="I7" s="65" t="n">
        <v>5200</v>
      </c>
      <c r="J7" s="66" t="b">
        <f aca="false">TRUE()</f>
        <v>1</v>
      </c>
      <c r="K7" s="65" t="n">
        <v>88</v>
      </c>
      <c r="L7" s="65" t="n">
        <v>3</v>
      </c>
      <c r="M7" s="65" t="n">
        <v>2050</v>
      </c>
      <c r="N7" s="65" t="n">
        <v>144</v>
      </c>
      <c r="O7" s="65" t="n">
        <v>4</v>
      </c>
      <c r="P7" s="66" t="b">
        <f aca="false">TRUE()</f>
        <v>1</v>
      </c>
      <c r="Q7" s="66" t="b">
        <f aca="false">TRUE()</f>
        <v>1</v>
      </c>
      <c r="R7" s="65" t="n">
        <v>20</v>
      </c>
      <c r="S7" s="65" t="n">
        <v>1700</v>
      </c>
      <c r="T7" s="65" t="n">
        <v>120</v>
      </c>
      <c r="U7" s="65" t="n">
        <v>0.96</v>
      </c>
      <c r="V7" s="67" t="n">
        <f aca="false">ROUND((0.6*((S7-1500)/(2200-1500))+0.2*((T7-0)/(138.5-0))+0.2*((U7-0.89)/(1.08-0.89)))*10,1)</f>
        <v>4.2</v>
      </c>
      <c r="W7" s="65" t="n">
        <v>23.5</v>
      </c>
      <c r="X7" s="65" t="n">
        <v>37000</v>
      </c>
      <c r="Y7" s="65" t="n">
        <v>82</v>
      </c>
      <c r="Z7" s="65" t="n">
        <v>93</v>
      </c>
      <c r="AA7" s="65" t="n">
        <v>90</v>
      </c>
      <c r="AB7" s="65" t="n">
        <v>2</v>
      </c>
      <c r="AC7" s="66" t="b">
        <f aca="false">TRUE()</f>
        <v>1</v>
      </c>
      <c r="AD7" s="65" t="n">
        <v>200</v>
      </c>
      <c r="AE7" s="65" t="n">
        <v>4500</v>
      </c>
      <c r="AF7" s="66" t="b">
        <f aca="false">FALSE()</f>
        <v>0</v>
      </c>
      <c r="AG7" s="65" t="s">
        <v>333</v>
      </c>
      <c r="AH7" s="65" t="n">
        <v>30</v>
      </c>
    </row>
    <row r="8" customFormat="false" ht="15" hidden="false" customHeight="true" outlineLevel="0" collapsed="false">
      <c r="A8" s="65" t="s">
        <v>334</v>
      </c>
      <c r="B8" s="65" t="s">
        <v>335</v>
      </c>
      <c r="C8" s="65" t="s">
        <v>138</v>
      </c>
      <c r="D8" s="65" t="s">
        <v>324</v>
      </c>
      <c r="E8" s="65" t="n">
        <v>9000</v>
      </c>
      <c r="F8" s="65" t="n">
        <v>42000</v>
      </c>
      <c r="G8" s="65" t="n">
        <v>1350</v>
      </c>
      <c r="H8" s="65" t="n">
        <v>8900</v>
      </c>
      <c r="I8" s="65" t="n">
        <v>5500</v>
      </c>
      <c r="J8" s="66" t="b">
        <f aca="false">TRUE()</f>
        <v>1</v>
      </c>
      <c r="K8" s="65" t="n">
        <v>92</v>
      </c>
      <c r="L8" s="65" t="n">
        <v>3</v>
      </c>
      <c r="M8" s="65" t="n">
        <v>2050</v>
      </c>
      <c r="N8" s="65" t="n">
        <v>193</v>
      </c>
      <c r="O8" s="65" t="n">
        <v>4</v>
      </c>
      <c r="P8" s="66" t="b">
        <f aca="false">TRUE()</f>
        <v>1</v>
      </c>
      <c r="Q8" s="66" t="b">
        <f aca="false">TRUE()</f>
        <v>1</v>
      </c>
      <c r="R8" s="65" t="n">
        <v>16</v>
      </c>
      <c r="S8" s="65" t="n">
        <v>1650</v>
      </c>
      <c r="T8" s="65" t="n">
        <v>115</v>
      </c>
      <c r="U8" s="65" t="n">
        <v>0.93</v>
      </c>
      <c r="V8" s="67" t="n">
        <f aca="false">ROUND((0.6*((S8-1500)/(2200-1500))+0.2*((T8-0)/(138.5-0))+0.2*((U8-0.89)/(1.08-0.89)))*10,1)</f>
        <v>3.4</v>
      </c>
      <c r="W8" s="65" t="n">
        <v>18.5</v>
      </c>
      <c r="X8" s="65" t="n">
        <v>27000</v>
      </c>
      <c r="Y8" s="65" t="n">
        <v>85</v>
      </c>
      <c r="Z8" s="65" t="n">
        <v>94</v>
      </c>
      <c r="AA8" s="65" t="n">
        <v>88.5</v>
      </c>
      <c r="AB8" s="65" t="n">
        <v>3</v>
      </c>
      <c r="AC8" s="66" t="b">
        <f aca="false">TRUE()</f>
        <v>1</v>
      </c>
      <c r="AD8" s="65" t="n">
        <v>250</v>
      </c>
      <c r="AE8" s="65" t="n">
        <v>4200</v>
      </c>
      <c r="AF8" s="66" t="b">
        <f aca="false">FALSE()</f>
        <v>0</v>
      </c>
      <c r="AG8" s="65" t="s">
        <v>336</v>
      </c>
      <c r="AH8" s="65" t="n">
        <v>25</v>
      </c>
    </row>
    <row r="9" customFormat="false" ht="15" hidden="false" customHeight="true" outlineLevel="0" collapsed="false">
      <c r="A9" s="65" t="s">
        <v>337</v>
      </c>
      <c r="B9" s="65" t="s">
        <v>338</v>
      </c>
      <c r="C9" s="65" t="s">
        <v>323</v>
      </c>
      <c r="D9" s="65" t="s">
        <v>324</v>
      </c>
      <c r="E9" s="65" t="n">
        <v>9500</v>
      </c>
      <c r="F9" s="65" t="n">
        <v>42000</v>
      </c>
      <c r="G9" s="65" t="n">
        <v>1500</v>
      </c>
      <c r="H9" s="65" t="n">
        <v>9600</v>
      </c>
      <c r="I9" s="65" t="n">
        <v>5800</v>
      </c>
      <c r="J9" s="66" t="b">
        <f aca="false">TRUE()</f>
        <v>1</v>
      </c>
      <c r="K9" s="65" t="n">
        <v>94</v>
      </c>
      <c r="L9" s="65" t="n">
        <v>3</v>
      </c>
      <c r="M9" s="65" t="n">
        <v>2050</v>
      </c>
      <c r="N9" s="65" t="n">
        <v>151</v>
      </c>
      <c r="O9" s="65" t="n">
        <v>4</v>
      </c>
      <c r="P9" s="66" t="b">
        <f aca="false">TRUE()</f>
        <v>1</v>
      </c>
      <c r="Q9" s="66" t="b">
        <f aca="false">TRUE()</f>
        <v>1</v>
      </c>
      <c r="R9" s="65" t="n">
        <v>14</v>
      </c>
      <c r="S9" s="65" t="n">
        <v>1600</v>
      </c>
      <c r="T9" s="65" t="n">
        <v>0</v>
      </c>
      <c r="U9" s="65" t="n">
        <v>0.91</v>
      </c>
      <c r="V9" s="67" t="n">
        <f aca="false">ROUND((0.6*((S9-1500)/(2200-1500))+0.2*((T9-0)/(138.5-0))+0.2*((U9-0.89)/(1.08-0.89)))*10,1)</f>
        <v>1.1</v>
      </c>
      <c r="W9" s="65" t="n">
        <v>22</v>
      </c>
      <c r="X9" s="65" t="n">
        <v>34000</v>
      </c>
      <c r="Y9" s="65" t="n">
        <v>83</v>
      </c>
      <c r="Z9" s="65" t="n">
        <v>94</v>
      </c>
      <c r="AA9" s="65" t="n">
        <v>91</v>
      </c>
      <c r="AB9" s="65" t="n">
        <v>3</v>
      </c>
      <c r="AC9" s="66" t="b">
        <f aca="false">TRUE()</f>
        <v>1</v>
      </c>
      <c r="AD9" s="65" t="n">
        <v>200</v>
      </c>
      <c r="AE9" s="65" t="n">
        <v>5500</v>
      </c>
      <c r="AF9" s="66" t="b">
        <f aca="false">FALSE()</f>
        <v>0</v>
      </c>
      <c r="AG9" s="65" t="s">
        <v>339</v>
      </c>
      <c r="AH9" s="65" t="n">
        <v>20</v>
      </c>
    </row>
    <row r="10" customFormat="false" ht="15" hidden="false" customHeight="true" outlineLevel="0" collapsed="false">
      <c r="A10" s="65" t="s">
        <v>340</v>
      </c>
      <c r="B10" s="65" t="s">
        <v>327</v>
      </c>
      <c r="C10" s="65" t="s">
        <v>341</v>
      </c>
      <c r="D10" s="65" t="s">
        <v>319</v>
      </c>
      <c r="E10" s="65" t="n">
        <v>7500</v>
      </c>
      <c r="F10" s="65" t="n">
        <v>33000</v>
      </c>
      <c r="G10" s="65" t="n">
        <v>1400</v>
      </c>
      <c r="H10" s="65" t="n">
        <v>9000</v>
      </c>
      <c r="I10" s="65" t="n">
        <v>4800</v>
      </c>
      <c r="J10" s="66" t="b">
        <f aca="false">TRUE()</f>
        <v>1</v>
      </c>
      <c r="K10" s="65" t="n">
        <v>85</v>
      </c>
      <c r="L10" s="65" t="n">
        <v>4</v>
      </c>
      <c r="M10" s="65" t="n">
        <v>2050</v>
      </c>
      <c r="N10" s="65" t="n">
        <v>333</v>
      </c>
      <c r="O10" s="65" t="n">
        <v>5</v>
      </c>
      <c r="P10" s="66" t="b">
        <f aca="false">TRUE()</f>
        <v>1</v>
      </c>
      <c r="Q10" s="66" t="b">
        <f aca="false">TRUE()</f>
        <v>1</v>
      </c>
      <c r="R10" s="65" t="n">
        <v>28</v>
      </c>
      <c r="S10" s="65" t="n">
        <v>2100</v>
      </c>
      <c r="T10" s="65" t="n">
        <v>128</v>
      </c>
      <c r="U10" s="65" t="n">
        <v>1.05</v>
      </c>
      <c r="V10" s="67" t="n">
        <f aca="false">ROUND((0.6*((S10-1500)/(2200-1500))+0.2*((T10-0)/(138.5-0))+0.2*((U10-0.89)/(1.08-0.89)))*10,1)</f>
        <v>8.7</v>
      </c>
      <c r="W10" s="65" t="n">
        <v>24</v>
      </c>
      <c r="X10" s="65" t="n">
        <v>53000</v>
      </c>
      <c r="Y10" s="65" t="n">
        <v>76</v>
      </c>
      <c r="Z10" s="65" t="n">
        <v>91</v>
      </c>
      <c r="AA10" s="65" t="n">
        <v>84</v>
      </c>
      <c r="AB10" s="65" t="n">
        <v>1</v>
      </c>
      <c r="AC10" s="66" t="b">
        <f aca="false">TRUE()</f>
        <v>1</v>
      </c>
      <c r="AD10" s="65" t="n">
        <v>300</v>
      </c>
      <c r="AE10" s="65" t="n">
        <v>3800</v>
      </c>
      <c r="AF10" s="66" t="b">
        <f aca="false">FALSE()</f>
        <v>0</v>
      </c>
      <c r="AG10" s="65" t="s">
        <v>342</v>
      </c>
      <c r="AH10" s="65" t="n">
        <v>40</v>
      </c>
    </row>
    <row r="11" customFormat="false" ht="15" hidden="false" customHeight="true" outlineLevel="0" collapsed="false">
      <c r="A11" s="65" t="s">
        <v>343</v>
      </c>
      <c r="B11" s="65" t="s">
        <v>133</v>
      </c>
      <c r="C11" s="65" t="s">
        <v>138</v>
      </c>
      <c r="D11" s="65" t="s">
        <v>319</v>
      </c>
      <c r="E11" s="65" t="n">
        <v>8000</v>
      </c>
      <c r="F11" s="65" t="n">
        <v>30000</v>
      </c>
      <c r="G11" s="65" t="n">
        <v>1250</v>
      </c>
      <c r="H11" s="65" t="n">
        <v>8500</v>
      </c>
      <c r="I11" s="65" t="n">
        <v>4600</v>
      </c>
      <c r="J11" s="66" t="b">
        <f aca="false">TRUE()</f>
        <v>1</v>
      </c>
      <c r="K11" s="65" t="n">
        <v>90</v>
      </c>
      <c r="L11" s="65" t="n">
        <v>3</v>
      </c>
      <c r="M11" s="65" t="n">
        <v>2050</v>
      </c>
      <c r="N11" s="65" t="n">
        <v>781</v>
      </c>
      <c r="O11" s="65" t="n">
        <v>4</v>
      </c>
      <c r="P11" s="66" t="b">
        <f aca="false">TRUE()</f>
        <v>1</v>
      </c>
      <c r="Q11" s="66" t="b">
        <f aca="false">TRUE()</f>
        <v>1</v>
      </c>
      <c r="R11" s="65" t="n">
        <v>22</v>
      </c>
      <c r="S11" s="65" t="n">
        <v>1900</v>
      </c>
      <c r="T11" s="65" t="n">
        <v>138.5</v>
      </c>
      <c r="U11" s="65" t="n">
        <v>0.95</v>
      </c>
      <c r="V11" s="67" t="n">
        <f aca="false">ROUND((0.6*((S11-1500)/(2200-1500))+0.2*((T11-0)/(138.5-0))+0.2*((U11-0.89)/(1.08-0.89)))*10,1)</f>
        <v>6.1</v>
      </c>
      <c r="W11" s="65" t="n">
        <v>27</v>
      </c>
      <c r="X11" s="65" t="n">
        <v>28000</v>
      </c>
      <c r="Y11" s="65" t="n">
        <v>70</v>
      </c>
      <c r="Z11" s="65" t="n">
        <v>90.3</v>
      </c>
      <c r="AA11" s="65" t="n">
        <v>80</v>
      </c>
      <c r="AB11" s="65" t="n">
        <v>3</v>
      </c>
      <c r="AC11" s="66" t="b">
        <f aca="false">TRUE()</f>
        <v>1</v>
      </c>
      <c r="AD11" s="65" t="n">
        <v>150</v>
      </c>
      <c r="AE11" s="65" t="n">
        <v>4000</v>
      </c>
      <c r="AF11" s="66" t="b">
        <f aca="false">FALSE()</f>
        <v>0</v>
      </c>
      <c r="AG11" s="65" t="s">
        <v>344</v>
      </c>
      <c r="AH11" s="65" t="n">
        <v>55</v>
      </c>
    </row>
    <row r="12" customFormat="false" ht="15" hidden="false" customHeight="true" outlineLevel="0" collapsed="false">
      <c r="A12" s="65" t="s">
        <v>345</v>
      </c>
      <c r="B12" s="65" t="s">
        <v>346</v>
      </c>
      <c r="C12" s="65" t="s">
        <v>323</v>
      </c>
      <c r="D12" s="65" t="s">
        <v>324</v>
      </c>
      <c r="E12" s="65" t="n">
        <v>8500</v>
      </c>
      <c r="F12" s="65" t="n">
        <v>28000</v>
      </c>
      <c r="G12" s="65" t="n">
        <v>1200</v>
      </c>
      <c r="H12" s="65" t="n">
        <v>8200</v>
      </c>
      <c r="I12" s="65" t="n">
        <v>4900</v>
      </c>
      <c r="J12" s="66" t="b">
        <f aca="false">TRUE()</f>
        <v>1</v>
      </c>
      <c r="K12" s="65" t="n">
        <v>91</v>
      </c>
      <c r="L12" s="65" t="n">
        <v>4</v>
      </c>
      <c r="M12" s="65" t="n">
        <v>2050</v>
      </c>
      <c r="N12" s="65" t="n">
        <v>504</v>
      </c>
      <c r="O12" s="65" t="n">
        <v>4</v>
      </c>
      <c r="P12" s="66" t="b">
        <f aca="false">TRUE()</f>
        <v>1</v>
      </c>
      <c r="Q12" s="66" t="b">
        <f aca="false">TRUE()</f>
        <v>1</v>
      </c>
      <c r="R12" s="65" t="n">
        <v>12</v>
      </c>
      <c r="S12" s="65" t="n">
        <v>1550</v>
      </c>
      <c r="T12" s="65" t="n">
        <v>90</v>
      </c>
      <c r="U12" s="65" t="n">
        <v>0.89</v>
      </c>
      <c r="V12" s="67" t="n">
        <f aca="false">ROUND((0.6*((S12-1500)/(2200-1500))+0.2*((T12-0)/(138.5-0))+0.2*((U12-0.89)/(1.08-0.89)))*10,1)</f>
        <v>1.7</v>
      </c>
      <c r="W12" s="65" t="n">
        <v>20</v>
      </c>
      <c r="X12" s="65" t="n">
        <v>30000</v>
      </c>
      <c r="Y12" s="65" t="n">
        <v>80</v>
      </c>
      <c r="Z12" s="65" t="n">
        <v>90</v>
      </c>
      <c r="AA12" s="65" t="n">
        <v>83</v>
      </c>
      <c r="AB12" s="65" t="n">
        <v>4</v>
      </c>
      <c r="AC12" s="66" t="b">
        <f aca="false">TRUE()</f>
        <v>1</v>
      </c>
      <c r="AD12" s="65" t="n">
        <v>170</v>
      </c>
      <c r="AE12" s="65" t="n">
        <v>3200</v>
      </c>
      <c r="AF12" s="66" t="b">
        <f aca="false">FALSE()</f>
        <v>0</v>
      </c>
      <c r="AG12" s="65" t="s">
        <v>347</v>
      </c>
      <c r="AH12" s="65" t="n">
        <v>35</v>
      </c>
    </row>
    <row r="13" customFormat="false" ht="15" hidden="false" customHeight="true" outlineLevel="0" collapsed="false">
      <c r="A13" s="65" t="s">
        <v>348</v>
      </c>
      <c r="B13" s="65" t="s">
        <v>349</v>
      </c>
      <c r="C13" s="65" t="s">
        <v>341</v>
      </c>
      <c r="D13" s="65" t="s">
        <v>324</v>
      </c>
      <c r="E13" s="65" t="n">
        <v>7800</v>
      </c>
      <c r="F13" s="65" t="n">
        <v>28000</v>
      </c>
      <c r="G13" s="65" t="n">
        <v>1100</v>
      </c>
      <c r="H13" s="65" t="n">
        <v>7500</v>
      </c>
      <c r="I13" s="65" t="n">
        <v>4200</v>
      </c>
      <c r="J13" s="66" t="b">
        <f aca="false">TRUE()</f>
        <v>1</v>
      </c>
      <c r="K13" s="65" t="n">
        <v>88</v>
      </c>
      <c r="L13" s="65" t="n">
        <v>2</v>
      </c>
      <c r="M13" s="65"/>
      <c r="N13" s="65"/>
      <c r="O13" s="65" t="n">
        <v>3</v>
      </c>
      <c r="P13" s="66" t="b">
        <f aca="false">TRUE()</f>
        <v>1</v>
      </c>
      <c r="Q13" s="66" t="b">
        <f aca="false">TRUE()</f>
        <v>1</v>
      </c>
      <c r="R13" s="65" t="n">
        <v>18</v>
      </c>
      <c r="S13" s="65" t="n">
        <v>1500</v>
      </c>
      <c r="T13" s="65" t="n">
        <v>95</v>
      </c>
      <c r="U13" s="65" t="n">
        <v>0.9</v>
      </c>
      <c r="V13" s="67" t="n">
        <f aca="false">ROUND((0.6*((S13-1500)/(2200-1500))+0.2*((T13-0)/(138.5-0))+0.2*((U13-0.89)/(1.08-0.89)))*10,1)</f>
        <v>1.5</v>
      </c>
      <c r="W13" s="65" t="n">
        <v>24</v>
      </c>
      <c r="X13" s="65" t="n">
        <v>11000</v>
      </c>
      <c r="Y13" s="65" t="n">
        <v>72</v>
      </c>
      <c r="Z13" s="65" t="n">
        <v>88</v>
      </c>
      <c r="AA13" s="65" t="n">
        <v>78</v>
      </c>
      <c r="AB13" s="65" t="n">
        <v>4</v>
      </c>
      <c r="AC13" s="66" t="b">
        <f aca="false">TRUE()</f>
        <v>1</v>
      </c>
      <c r="AD13" s="65" t="n">
        <v>80</v>
      </c>
      <c r="AE13" s="65" t="n">
        <v>1200</v>
      </c>
      <c r="AF13" s="66" t="b">
        <f aca="false">FALSE()</f>
        <v>0</v>
      </c>
      <c r="AG13" s="65" t="s">
        <v>350</v>
      </c>
      <c r="AH13" s="65" t="n">
        <v>20</v>
      </c>
    </row>
  </sheetData>
  <mergeCells count="1">
    <mergeCell ref="A1:A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9" activeCellId="0" sqref="J9"/>
    </sheetView>
  </sheetViews>
  <sheetFormatPr defaultColWidth="8.71484375" defaultRowHeight="15" zeroHeight="false" outlineLevelRow="0" outlineLevelCol="0"/>
  <cols>
    <col collapsed="false" customWidth="true" hidden="false" outlineLevel="0" max="1" min="1" style="1" width="2.57"/>
    <col collapsed="false" customWidth="true" hidden="false" outlineLevel="0" max="2" min="2" style="68" width="28"/>
    <col collapsed="false" customWidth="true" hidden="false" outlineLevel="0" max="3" min="3" style="1" width="42"/>
    <col collapsed="false" customWidth="true" hidden="false" outlineLevel="0" max="4" min="4" style="1" width="22"/>
    <col collapsed="false" customWidth="true" hidden="false" outlineLevel="0" max="5" min="5" style="1" width="18"/>
    <col collapsed="false" customWidth="true" hidden="false" outlineLevel="0" max="6" min="6" style="1" width="15"/>
  </cols>
  <sheetData>
    <row r="1" customFormat="false" ht="19.5" hidden="false" customHeight="true" outlineLevel="0" collapsed="false">
      <c r="A1" s="69" t="s">
        <v>351</v>
      </c>
      <c r="B1" s="69"/>
      <c r="C1" s="69"/>
      <c r="D1" s="69"/>
      <c r="E1" s="69"/>
      <c r="F1" s="69"/>
    </row>
    <row r="3" customFormat="false" ht="36.75" hidden="false" customHeight="true" outlineLevel="0" collapsed="false">
      <c r="A3" s="70" t="s">
        <v>352</v>
      </c>
      <c r="B3" s="70"/>
      <c r="C3" s="70"/>
      <c r="D3" s="70"/>
      <c r="E3" s="70"/>
      <c r="F3" s="70"/>
    </row>
    <row r="4" customFormat="false" ht="48" hidden="false" customHeight="true" outlineLevel="0" collapsed="false">
      <c r="A4" s="71" t="s">
        <v>353</v>
      </c>
      <c r="B4" s="72" t="s">
        <v>354</v>
      </c>
      <c r="C4" s="73"/>
      <c r="D4" s="73" t="s">
        <v>355</v>
      </c>
      <c r="E4" s="73" t="s">
        <v>356</v>
      </c>
      <c r="F4" s="74" t="s">
        <v>357</v>
      </c>
    </row>
    <row r="5" customFormat="false" ht="45.75" hidden="false" customHeight="true" outlineLevel="0" collapsed="false">
      <c r="A5" s="75" t="s">
        <v>353</v>
      </c>
      <c r="B5" s="76" t="s">
        <v>358</v>
      </c>
      <c r="C5" s="77"/>
      <c r="D5" s="77" t="s">
        <v>359</v>
      </c>
      <c r="E5" s="77" t="s">
        <v>356</v>
      </c>
      <c r="F5" s="78" t="s">
        <v>357</v>
      </c>
    </row>
    <row r="6" customFormat="false" ht="33" hidden="false" customHeight="true" outlineLevel="0" collapsed="false">
      <c r="A6" s="71" t="s">
        <v>353</v>
      </c>
      <c r="B6" s="72" t="s">
        <v>360</v>
      </c>
      <c r="C6" s="73"/>
      <c r="D6" s="73" t="s">
        <v>355</v>
      </c>
      <c r="E6" s="73" t="s">
        <v>356</v>
      </c>
      <c r="F6" s="74" t="s">
        <v>357</v>
      </c>
    </row>
    <row r="7" customFormat="false" ht="35.25" hidden="false" customHeight="true" outlineLevel="0" collapsed="false">
      <c r="A7" s="75" t="s">
        <v>353</v>
      </c>
      <c r="B7" s="76" t="s">
        <v>361</v>
      </c>
      <c r="C7" s="77"/>
      <c r="D7" s="77" t="s">
        <v>355</v>
      </c>
      <c r="E7" s="77" t="s">
        <v>356</v>
      </c>
      <c r="F7" s="78" t="s">
        <v>357</v>
      </c>
    </row>
    <row r="9" customFormat="false" ht="24" hidden="false" customHeight="true" outlineLevel="0" collapsed="false">
      <c r="A9" s="79" t="s">
        <v>362</v>
      </c>
      <c r="B9" s="79"/>
      <c r="C9" s="79"/>
      <c r="D9" s="79"/>
      <c r="E9" s="79"/>
      <c r="F9" s="79"/>
    </row>
    <row r="10" customFormat="false" ht="27.75" hidden="false" customHeight="true" outlineLevel="0" collapsed="false">
      <c r="A10" s="71" t="s">
        <v>353</v>
      </c>
      <c r="B10" s="72" t="s">
        <v>363</v>
      </c>
      <c r="C10" s="73"/>
      <c r="D10" s="73" t="s">
        <v>364</v>
      </c>
      <c r="E10" s="73" t="s">
        <v>365</v>
      </c>
      <c r="F10" s="74" t="s">
        <v>357</v>
      </c>
    </row>
    <row r="11" customFormat="false" ht="37.5" hidden="false" customHeight="true" outlineLevel="0" collapsed="false">
      <c r="A11" s="75" t="s">
        <v>353</v>
      </c>
      <c r="B11" s="76" t="s">
        <v>366</v>
      </c>
      <c r="C11" s="77"/>
      <c r="D11" s="77" t="s">
        <v>364</v>
      </c>
      <c r="E11" s="77" t="s">
        <v>365</v>
      </c>
      <c r="F11" s="78" t="s">
        <v>357</v>
      </c>
    </row>
    <row r="12" customFormat="false" ht="45" hidden="false" customHeight="true" outlineLevel="0" collapsed="false">
      <c r="A12" s="71" t="s">
        <v>353</v>
      </c>
      <c r="B12" s="72" t="s">
        <v>367</v>
      </c>
      <c r="C12" s="73"/>
      <c r="D12" s="73" t="s">
        <v>364</v>
      </c>
      <c r="E12" s="73" t="s">
        <v>365</v>
      </c>
      <c r="F12" s="74" t="s">
        <v>357</v>
      </c>
    </row>
    <row r="13" customFormat="false" ht="45" hidden="false" customHeight="true" outlineLevel="0" collapsed="false">
      <c r="A13" s="75" t="s">
        <v>353</v>
      </c>
      <c r="B13" s="76" t="s">
        <v>368</v>
      </c>
      <c r="C13" s="77"/>
      <c r="D13" s="77" t="s">
        <v>364</v>
      </c>
      <c r="E13" s="77" t="s">
        <v>365</v>
      </c>
      <c r="F13" s="78" t="s">
        <v>357</v>
      </c>
    </row>
    <row r="14" customFormat="false" ht="45" hidden="false" customHeight="true" outlineLevel="0" collapsed="false"/>
    <row r="15" customFormat="false" ht="45" hidden="false" customHeight="true" outlineLevel="0" collapsed="false">
      <c r="A15" s="80" t="s">
        <v>369</v>
      </c>
      <c r="B15" s="80"/>
      <c r="C15" s="80"/>
      <c r="D15" s="80"/>
      <c r="E15" s="80"/>
      <c r="F15" s="80"/>
    </row>
    <row r="16" customFormat="false" ht="45" hidden="false" customHeight="true" outlineLevel="0" collapsed="false">
      <c r="A16" s="71" t="s">
        <v>353</v>
      </c>
      <c r="B16" s="72" t="s">
        <v>370</v>
      </c>
      <c r="C16" s="73"/>
      <c r="D16" s="73" t="s">
        <v>364</v>
      </c>
      <c r="E16" s="73" t="s">
        <v>365</v>
      </c>
      <c r="F16" s="74" t="s">
        <v>357</v>
      </c>
    </row>
    <row r="17" customFormat="false" ht="45" hidden="false" customHeight="true" outlineLevel="0" collapsed="false">
      <c r="A17" s="75" t="s">
        <v>353</v>
      </c>
      <c r="B17" s="76" t="s">
        <v>371</v>
      </c>
      <c r="C17" s="77"/>
      <c r="D17" s="77" t="s">
        <v>364</v>
      </c>
      <c r="E17" s="77" t="s">
        <v>365</v>
      </c>
      <c r="F17" s="78" t="s">
        <v>357</v>
      </c>
    </row>
    <row r="18" customFormat="false" ht="45" hidden="false" customHeight="true" outlineLevel="0" collapsed="false">
      <c r="A18" s="71" t="s">
        <v>353</v>
      </c>
      <c r="B18" s="72" t="s">
        <v>372</v>
      </c>
      <c r="C18" s="73"/>
      <c r="D18" s="73" t="s">
        <v>364</v>
      </c>
      <c r="E18" s="73" t="s">
        <v>365</v>
      </c>
      <c r="F18" s="74" t="s">
        <v>357</v>
      </c>
    </row>
    <row r="19" customFormat="false" ht="45" hidden="false" customHeight="true" outlineLevel="0" collapsed="false"/>
    <row r="20" customFormat="false" ht="45" hidden="false" customHeight="true" outlineLevel="0" collapsed="false">
      <c r="A20" s="81" t="s">
        <v>373</v>
      </c>
      <c r="B20" s="81"/>
      <c r="C20" s="81"/>
      <c r="D20" s="81"/>
      <c r="E20" s="81"/>
      <c r="F20" s="81"/>
    </row>
    <row r="21" customFormat="false" ht="45" hidden="false" customHeight="true" outlineLevel="0" collapsed="false">
      <c r="A21" s="75" t="s">
        <v>353</v>
      </c>
      <c r="B21" s="76" t="s">
        <v>374</v>
      </c>
      <c r="C21" s="77"/>
      <c r="D21" s="77" t="s">
        <v>364</v>
      </c>
      <c r="E21" s="77" t="s">
        <v>375</v>
      </c>
      <c r="F21" s="78" t="s">
        <v>357</v>
      </c>
    </row>
    <row r="22" customFormat="false" ht="45" hidden="false" customHeight="true" outlineLevel="0" collapsed="false">
      <c r="A22" s="71" t="s">
        <v>353</v>
      </c>
      <c r="B22" s="72" t="s">
        <v>376</v>
      </c>
      <c r="C22" s="73"/>
      <c r="D22" s="73" t="s">
        <v>364</v>
      </c>
      <c r="E22" s="73" t="s">
        <v>375</v>
      </c>
      <c r="F22" s="74" t="s">
        <v>357</v>
      </c>
    </row>
    <row r="23" customFormat="false" ht="45" hidden="false" customHeight="true" outlineLevel="0" collapsed="false">
      <c r="A23" s="75" t="s">
        <v>353</v>
      </c>
      <c r="B23" s="76" t="s">
        <v>377</v>
      </c>
      <c r="C23" s="77"/>
      <c r="D23" s="77" t="s">
        <v>364</v>
      </c>
      <c r="E23" s="77" t="s">
        <v>375</v>
      </c>
      <c r="F23" s="78" t="s">
        <v>357</v>
      </c>
    </row>
    <row r="24" customFormat="false" ht="45" hidden="false" customHeight="true" outlineLevel="0" collapsed="false">
      <c r="A24" s="71" t="s">
        <v>353</v>
      </c>
      <c r="B24" s="72" t="s">
        <v>378</v>
      </c>
      <c r="C24" s="73"/>
      <c r="D24" s="73" t="s">
        <v>364</v>
      </c>
      <c r="E24" s="73" t="s">
        <v>375</v>
      </c>
      <c r="F24" s="74" t="s">
        <v>357</v>
      </c>
    </row>
    <row r="25" customFormat="false" ht="45" hidden="false" customHeight="true" outlineLevel="0" collapsed="false">
      <c r="A25" s="75" t="s">
        <v>353</v>
      </c>
      <c r="B25" s="76" t="s">
        <v>379</v>
      </c>
      <c r="C25" s="77"/>
      <c r="D25" s="77" t="s">
        <v>364</v>
      </c>
      <c r="E25" s="77" t="s">
        <v>375</v>
      </c>
      <c r="F25" s="78" t="s">
        <v>357</v>
      </c>
    </row>
    <row r="26" customFormat="false" ht="45" hidden="false" customHeight="true" outlineLevel="0" collapsed="false">
      <c r="A26" s="71" t="s">
        <v>353</v>
      </c>
      <c r="B26" s="72" t="s">
        <v>380</v>
      </c>
      <c r="C26" s="73"/>
      <c r="D26" s="73" t="s">
        <v>364</v>
      </c>
      <c r="E26" s="73" t="s">
        <v>375</v>
      </c>
      <c r="F26" s="74" t="s">
        <v>357</v>
      </c>
    </row>
    <row r="27" customFormat="false" ht="45" hidden="false" customHeight="true" outlineLevel="0" collapsed="false"/>
    <row r="28" customFormat="false" ht="45" hidden="false" customHeight="true" outlineLevel="0" collapsed="false">
      <c r="A28" s="82" t="s">
        <v>381</v>
      </c>
      <c r="B28" s="82"/>
      <c r="C28" s="82"/>
      <c r="D28" s="82"/>
      <c r="E28" s="82"/>
      <c r="F28" s="82"/>
    </row>
    <row r="29" customFormat="false" ht="45" hidden="false" customHeight="true" outlineLevel="0" collapsed="false">
      <c r="A29" s="75" t="s">
        <v>353</v>
      </c>
      <c r="B29" s="76" t="s">
        <v>382</v>
      </c>
      <c r="C29" s="77"/>
      <c r="D29" s="77" t="s">
        <v>364</v>
      </c>
      <c r="E29" s="77" t="s">
        <v>383</v>
      </c>
      <c r="F29" s="78" t="s">
        <v>357</v>
      </c>
    </row>
    <row r="30" customFormat="false" ht="45" hidden="false" customHeight="true" outlineLevel="0" collapsed="false">
      <c r="A30" s="71" t="s">
        <v>353</v>
      </c>
      <c r="B30" s="72" t="s">
        <v>384</v>
      </c>
      <c r="C30" s="73"/>
      <c r="D30" s="73" t="s">
        <v>364</v>
      </c>
      <c r="E30" s="73" t="s">
        <v>383</v>
      </c>
      <c r="F30" s="74" t="s">
        <v>357</v>
      </c>
    </row>
    <row r="31" customFormat="false" ht="45" hidden="false" customHeight="true" outlineLevel="0" collapsed="false">
      <c r="A31" s="75" t="s">
        <v>353</v>
      </c>
      <c r="B31" s="76" t="s">
        <v>385</v>
      </c>
      <c r="C31" s="77"/>
      <c r="D31" s="77" t="s">
        <v>364</v>
      </c>
      <c r="E31" s="77" t="s">
        <v>383</v>
      </c>
      <c r="F31" s="78" t="s">
        <v>357</v>
      </c>
    </row>
    <row r="32" customFormat="false" ht="45" hidden="false" customHeight="true" outlineLevel="0" collapsed="false">
      <c r="A32" s="71" t="s">
        <v>353</v>
      </c>
      <c r="B32" s="72" t="s">
        <v>386</v>
      </c>
      <c r="C32" s="73"/>
      <c r="D32" s="73" t="s">
        <v>364</v>
      </c>
      <c r="E32" s="73" t="s">
        <v>383</v>
      </c>
      <c r="F32" s="74" t="s">
        <v>357</v>
      </c>
    </row>
    <row r="33" customFormat="false" ht="45" hidden="false" customHeight="true" outlineLevel="0" collapsed="false"/>
    <row r="34" customFormat="false" ht="45" hidden="false" customHeight="true" outlineLevel="0" collapsed="false">
      <c r="A34" s="79" t="s">
        <v>387</v>
      </c>
      <c r="B34" s="79"/>
      <c r="C34" s="79"/>
      <c r="D34" s="79"/>
      <c r="E34" s="79"/>
      <c r="F34" s="79"/>
    </row>
    <row r="35" customFormat="false" ht="45" hidden="false" customHeight="true" outlineLevel="0" collapsed="false">
      <c r="A35" s="75" t="s">
        <v>353</v>
      </c>
      <c r="B35" s="76" t="s">
        <v>388</v>
      </c>
      <c r="C35" s="77"/>
      <c r="D35" s="77" t="s">
        <v>364</v>
      </c>
      <c r="E35" s="77" t="s">
        <v>383</v>
      </c>
      <c r="F35" s="78" t="s">
        <v>357</v>
      </c>
    </row>
    <row r="36" customFormat="false" ht="45" hidden="false" customHeight="true" outlineLevel="0" collapsed="false">
      <c r="A36" s="71" t="s">
        <v>353</v>
      </c>
      <c r="B36" s="72" t="s">
        <v>389</v>
      </c>
      <c r="C36" s="73"/>
      <c r="D36" s="73" t="s">
        <v>364</v>
      </c>
      <c r="E36" s="73" t="s">
        <v>383</v>
      </c>
      <c r="F36" s="74" t="s">
        <v>357</v>
      </c>
    </row>
    <row r="37" customFormat="false" ht="45" hidden="false" customHeight="true" outlineLevel="0" collapsed="false">
      <c r="A37" s="75" t="s">
        <v>353</v>
      </c>
      <c r="B37" s="76" t="s">
        <v>390</v>
      </c>
      <c r="C37" s="77"/>
      <c r="D37" s="77" t="s">
        <v>364</v>
      </c>
      <c r="E37" s="77" t="s">
        <v>383</v>
      </c>
      <c r="F37" s="78" t="s">
        <v>357</v>
      </c>
    </row>
    <row r="38" customFormat="false" ht="45" hidden="false" customHeight="true" outlineLevel="0" collapsed="false"/>
    <row r="39" customFormat="false" ht="45" hidden="false" customHeight="true" outlineLevel="0" collapsed="false">
      <c r="A39" s="83" t="s">
        <v>391</v>
      </c>
      <c r="B39" s="83"/>
      <c r="C39" s="83"/>
      <c r="D39" s="83"/>
      <c r="E39" s="83"/>
      <c r="F39" s="83"/>
    </row>
    <row r="40" customFormat="false" ht="45" hidden="false" customHeight="true" outlineLevel="0" collapsed="false">
      <c r="A40" s="71" t="s">
        <v>353</v>
      </c>
      <c r="B40" s="72" t="s">
        <v>392</v>
      </c>
      <c r="C40" s="73"/>
      <c r="D40" s="73" t="s">
        <v>355</v>
      </c>
      <c r="E40" s="73" t="s">
        <v>383</v>
      </c>
      <c r="F40" s="74" t="s">
        <v>357</v>
      </c>
    </row>
    <row r="41" customFormat="false" ht="45" hidden="false" customHeight="true" outlineLevel="0" collapsed="false">
      <c r="A41" s="75" t="s">
        <v>353</v>
      </c>
      <c r="B41" s="76" t="s">
        <v>393</v>
      </c>
      <c r="C41" s="77"/>
      <c r="D41" s="77" t="s">
        <v>355</v>
      </c>
      <c r="E41" s="77" t="s">
        <v>383</v>
      </c>
      <c r="F41" s="78" t="s">
        <v>357</v>
      </c>
    </row>
    <row r="42" customFormat="false" ht="45" hidden="false" customHeight="true" outlineLevel="0" collapsed="false">
      <c r="A42" s="71" t="s">
        <v>353</v>
      </c>
      <c r="B42" s="72" t="s">
        <v>394</v>
      </c>
      <c r="C42" s="73"/>
      <c r="D42" s="73" t="s">
        <v>355</v>
      </c>
      <c r="E42" s="73" t="s">
        <v>383</v>
      </c>
      <c r="F42" s="74" t="s">
        <v>357</v>
      </c>
    </row>
    <row r="43" customFormat="false" ht="45" hidden="false" customHeight="true" outlineLevel="0" collapsed="false">
      <c r="A43" s="75" t="s">
        <v>353</v>
      </c>
      <c r="B43" s="76" t="s">
        <v>395</v>
      </c>
      <c r="C43" s="77"/>
      <c r="D43" s="77" t="s">
        <v>359</v>
      </c>
      <c r="E43" s="77" t="s">
        <v>396</v>
      </c>
      <c r="F43" s="78" t="s">
        <v>357</v>
      </c>
    </row>
    <row r="44" customFormat="false" ht="45" hidden="false" customHeight="true" outlineLevel="0" collapsed="false">
      <c r="A44" s="71" t="s">
        <v>353</v>
      </c>
      <c r="B44" s="72" t="s">
        <v>397</v>
      </c>
      <c r="C44" s="73"/>
      <c r="D44" s="73" t="s">
        <v>359</v>
      </c>
      <c r="E44" s="73" t="s">
        <v>396</v>
      </c>
      <c r="F44" s="74" t="s">
        <v>357</v>
      </c>
    </row>
    <row r="45" customFormat="false" ht="45" hidden="false" customHeight="true" outlineLevel="0" collapsed="false">
      <c r="A45" s="75" t="s">
        <v>353</v>
      </c>
      <c r="B45" s="76" t="s">
        <v>398</v>
      </c>
      <c r="C45" s="77"/>
      <c r="D45" s="77" t="s">
        <v>355</v>
      </c>
      <c r="E45" s="77" t="s">
        <v>396</v>
      </c>
      <c r="F45" s="78" t="s">
        <v>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2026-03-02T20:47:15Z</dcterms:created>
  <dc:creator>openpyxl</dc:creator>
  <dc:description/>
  <dc:language>en-US</dc:language>
  <cp:lastModifiedBy/>
  <dcterms:modified xsi:type="dcterms:W3CDTF">2026-04-08T19:31:32Z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